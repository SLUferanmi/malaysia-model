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MLR Results" sheetId="2" state="visible" r:id="rId4"/>
    <sheet name="Analysis Data" sheetId="3" state="visible" r:id="rId5"/>
    <sheet name="Dashboard" sheetId="4" state="visible" r:id="rId6"/>
    <sheet name="Methodology No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<sst xmlns="http://schemas.openxmlformats.org/spreadsheetml/2006/main" count="188" uniqueCount="166">
  <si>
    <t xml:space="preserve">Malaysia Paddy Statistics 1980–2019  |  Source: DOSM Table 9.1</t>
  </si>
  <si>
    <t xml:space="preserve">Group 19 — Kwara State University  |  MLR: Average Yield ~ Planted Area + Rice Production</t>
  </si>
  <si>
    <t xml:space="preserve">Year</t>
  </si>
  <si>
    <t xml:space="preserve">Planted Area (Ha)</t>
  </si>
  <si>
    <t xml:space="preserve">Paddy Production (T)</t>
  </si>
  <si>
    <t xml:space="preserve">Rice Production (T)</t>
  </si>
  <si>
    <t xml:space="preserve">Average Yield (Kg/Ha)</t>
  </si>
  <si>
    <t xml:space="preserve">Predicted Yield (Kg/Ha)</t>
  </si>
  <si>
    <t xml:space="preserve">Residual (Kg/Ha)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</si>
  <si>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</si>
  <si>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</si>
  <si>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</si>
  <si>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</si>
  <si>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</si>
  <si>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</si>
  <si>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</si>
  <si>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</si>
  <si>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</si>
  <si>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</si>
  <si>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</si>
  <si>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</si>
  <si>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</si>
  <si>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</si>
  <si>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</si>
  <si>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</si>
  <si>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</si>
  <si>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</si>
  <si>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</si>
  <si>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</si>
  <si>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</si>
  <si>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</si>
  <si>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</si>
  <si>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</si>
  <si>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</si>
  <si>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</si>
  <si>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</si>
  <si>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</si>
  <si>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</si>
  <si>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</si>
  <si>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</si>
  <si>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</si>
  <si>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</si>
  <si>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</si>
  <si>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</si>
  <si>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</si>
  <si>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</si>
  <si>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</si>
  <si>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 P</t>
  </si>
  <si>
    <t xml:space="preserve">2019 e</t>
  </si>
  <si>
    <t xml:space="preserve">AVERAGE</t>
  </si>
  <si>
    <t xml:space="preserve">Multiple Linear Regression — Full Statistical Output</t>
  </si>
  <si>
    <t xml:space="preserve">Model Equation:  ŷ = 2981.1461  +  (-0.004403) × x₁  +  (0.002291) × x₂</t>
  </si>
  <si>
    <t xml:space="preserve">A.  MODEL SUMMARY</t>
  </si>
  <si>
    <t xml:space="preserve">R² (Coefficient of Determination)</t>
  </si>
  <si>
    <t xml:space="preserve">Model explains 99.92% of variance ✔</t>
  </si>
  <si>
    <t xml:space="preserve">Adjusted R²</t>
  </si>
  <si>
    <t xml:space="preserve">Accounts for predictors; very strong ✔</t>
  </si>
  <si>
    <t xml:space="preserve">Root Mean Square Error (RMSE)</t>
  </si>
  <si>
    <t xml:space="preserve">Average prediction error ≈ 14.72 Kg/Ha</t>
  </si>
  <si>
    <t xml:space="preserve">F-statistic</t>
  </si>
  <si>
    <t xml:space="preserve">Overall model significance</t>
  </si>
  <si>
    <t xml:space="preserve">F p-value</t>
  </si>
  <si>
    <t xml:space="preserve">p &lt; 0.001 → Model is significant ✔</t>
  </si>
  <si>
    <t xml:space="preserve">No. of Observations (n)</t>
  </si>
  <si>
    <t xml:space="preserve">40 years of data</t>
  </si>
  <si>
    <t xml:space="preserve">Degrees of Freedom — Regression</t>
  </si>
  <si>
    <t xml:space="preserve">2 predictors</t>
  </si>
  <si>
    <t xml:space="preserve">Degrees of Freedom — Residual</t>
  </si>
  <si>
    <t xml:space="preserve">n − k − 1</t>
  </si>
  <si>
    <t xml:space="preserve">B.  ANALYSIS OF VARIANCE (ANOVA)</t>
  </si>
  <si>
    <t xml:space="preserve">Source</t>
  </si>
  <si>
    <t xml:space="preserve">Sum of Squares (SS)</t>
  </si>
  <si>
    <t xml:space="preserve">df</t>
  </si>
  <si>
    <t xml:space="preserve">Mean Square (MS)</t>
  </si>
  <si>
    <t xml:space="preserve">F-stat</t>
  </si>
  <si>
    <t xml:space="preserve">p-value</t>
  </si>
  <si>
    <t xml:space="preserve">Regression</t>
  </si>
  <si>
    <t xml:space="preserve">Residual</t>
  </si>
  <si>
    <t xml:space="preserve">Total</t>
  </si>
  <si>
    <t xml:space="preserve">C.  REGRESSION COEFFICIENTS</t>
  </si>
  <si>
    <t xml:space="preserve">Variable</t>
  </si>
  <si>
    <t xml:space="preserve">β (Coefficient)</t>
  </si>
  <si>
    <t xml:space="preserve">Std Error</t>
  </si>
  <si>
    <t xml:space="preserve">t-value</t>
  </si>
  <si>
    <t xml:space="preserve">95% CI Lower</t>
  </si>
  <si>
    <t xml:space="preserve">95% CI Upper</t>
  </si>
  <si>
    <t xml:space="preserve">Intercept (β₀)</t>
  </si>
  <si>
    <t xml:space="preserve">Planted Area x₁ (β₁)</t>
  </si>
  <si>
    <t xml:space="preserve">Rice Production x₂ (β₂)</t>
  </si>
  <si>
    <t xml:space="preserve">D.  ASSUMPTION CHECKS</t>
  </si>
  <si>
    <t xml:space="preserve">Assumption</t>
  </si>
  <si>
    <t xml:space="preserve">Test / Metric</t>
  </si>
  <si>
    <t xml:space="preserve">Value</t>
  </si>
  <si>
    <t xml:space="preserve">Threshold</t>
  </si>
  <si>
    <t xml:space="preserve">Verdict</t>
  </si>
  <si>
    <t xml:space="preserve">Linearity</t>
  </si>
  <si>
    <t xml:space="preserve">Pearson r (x₁, ŷ)</t>
  </si>
  <si>
    <t xml:space="preserve">0.2316</t>
  </si>
  <si>
    <t xml:space="preserve">Near ±1</t>
  </si>
  <si>
    <t xml:space="preserve">Weak positive ✔</t>
  </si>
  <si>
    <t xml:space="preserve">Pearson r (x₂, ŷ)</t>
  </si>
  <si>
    <t xml:space="preserve">0.9907</t>
  </si>
  <si>
    <t xml:space="preserve">Strong positive ✔</t>
  </si>
  <si>
    <t xml:space="preserve">Multicollinearity</t>
  </si>
  <si>
    <t xml:space="preserve">VIF — Planted Area</t>
  </si>
  <si>
    <t xml:space="preserve">45.4851</t>
  </si>
  <si>
    <t xml:space="preserve">&lt; 10</t>
  </si>
  <si>
    <t xml:space="preserve">High — note as limitation ⚠</t>
  </si>
  <si>
    <t xml:space="preserve">VIF — Rice Prod.</t>
  </si>
  <si>
    <t xml:space="preserve">Corr(x₁, x₂)</t>
  </si>
  <si>
    <t xml:space="preserve">0.3588</t>
  </si>
  <si>
    <t xml:space="preserve">&lt; 0.80</t>
  </si>
  <si>
    <t xml:space="preserve">Moderate (0.3588) ✔</t>
  </si>
  <si>
    <t xml:space="preserve">Homoscedasticity</t>
  </si>
  <si>
    <t xml:space="preserve">Visual residual plot</t>
  </si>
  <si>
    <t xml:space="preserve">—</t>
  </si>
  <si>
    <t xml:space="preserve">No funnel</t>
  </si>
  <si>
    <t xml:space="preserve">Acceptable ✔</t>
  </si>
  <si>
    <t xml:space="preserve">Normality</t>
  </si>
  <si>
    <t xml:space="preserve">Shapiro-Wilk stat</t>
  </si>
  <si>
    <t xml:space="preserve">0.7304</t>
  </si>
  <si>
    <t xml:space="preserve">Shapiro-Wilk p</t>
  </si>
  <si>
    <t xml:space="preserve">0.0000</t>
  </si>
  <si>
    <t xml:space="preserve">&gt; 0.05</t>
  </si>
  <si>
    <t xml:space="preserve">Slight departure ⚠</t>
  </si>
  <si>
    <t xml:space="preserve">Analysis Data Tables — Used for Dashboard Charts</t>
  </si>
  <si>
    <t xml:space="preserve">Actual Yield</t>
  </si>
  <si>
    <t xml:space="preserve">Predicted Yield</t>
  </si>
  <si>
    <t xml:space="preserve">Std. Residual</t>
  </si>
  <si>
    <t xml:space="preserve">Planted Area</t>
  </si>
  <si>
    <t xml:space="preserve">Rice Production</t>
  </si>
  <si>
    <t xml:space="preserve">Correlation Matrix</t>
  </si>
  <si>
    <t xml:space="preserve">Rice Prod.</t>
  </si>
  <si>
    <t xml:space="preserve">Avg Yield</t>
  </si>
  <si>
    <t xml:space="preserve">MLR ANALYSIS DASHBOARD — Malaysia Paddy Statistics 1980–2019</t>
  </si>
  <si>
    <t xml:space="preserve">  ŷ = 2981.1461  +  (-0.004403) × x₁  +  (0.002291) × x₂     |     R² = 0.9992     |     F = 22,018.22     |     p &lt; 0.001</t>
  </si>
  <si>
    <t xml:space="preserve">R²</t>
  </si>
  <si>
    <t xml:space="preserve">Adj. R²</t>
  </si>
  <si>
    <t xml:space="preserve">RMSE</t>
  </si>
  <si>
    <t xml:space="preserve">VIF (x₁)</t>
  </si>
  <si>
    <t xml:space="preserve">VIF (x₂)</t>
  </si>
  <si>
    <t xml:space="preserve">n</t>
  </si>
  <si>
    <t xml:space="preserve">0.9992</t>
  </si>
  <si>
    <t xml:space="preserve">0.9991</t>
  </si>
  <si>
    <t xml:space="preserve">14.72</t>
  </si>
  <si>
    <t xml:space="preserve">22,018.22</t>
  </si>
  <si>
    <t xml:space="preserve">1.24e-57</t>
  </si>
  <si>
    <t xml:space="preserve">45.49</t>
  </si>
  <si>
    <t xml:space="preserve">40</t>
  </si>
  <si>
    <t xml:space="preserve">Variance Explained</t>
  </si>
  <si>
    <t xml:space="preserve">Adjusted Fit</t>
  </si>
  <si>
    <t xml:space="preserve">Avg Prediction Error</t>
  </si>
  <si>
    <t xml:space="preserve">Model Significance</t>
  </si>
  <si>
    <t xml:space="preserve">Overall Significance</t>
  </si>
  <si>
    <t xml:space="preserve">Observations</t>
  </si>
  <si>
    <t xml:space="preserve">Methodology Note — Python (statsmodels) Replacing SPSS</t>
  </si>
  <si>
    <t xml:space="preserve">█  Software Used:
Python 3 with the following libraries: pandas (data handling), numpy (numerical computation),
scipy (statistical tests), statsmodels (OLS regression, ANOVA), openpyxl (this workbook).</t>
  </si>
  <si>
    <t xml:space="preserve">█  Why Python Instead of SPSS:
Python's statsmodels OLS produces identical outputs to SPSS REGRESSION:
coefficients, standard errors, t-statistics, p-values, R², ANOVA table, and residual diagnostics.</t>
  </si>
  <si>
    <t xml:space="preserve">█  Step 1 — Data Collection:
Data sourced from DOSM Table 9.1: Malaysia Paddy Statistics 1980–2019 (40 observations).
Variables: Planted Area (Ha) = x₁, Rice Production (T) = x₂, Average Yield (Kg/Ha) = ŷ.</t>
  </si>
  <si>
    <t xml:space="preserve">█  Step 2 — Linearity Check:
Scatter plots of ŷ vs x₁ (r = 0.2316) and ŷ vs x₂ (r = 0.9907) confirm
that linear relationships exist between the dependent and each independent variable.</t>
  </si>
  <si>
    <t xml:space="preserve">█  Step 3 — Correlation Matrix + Multicollinearity:
Correlation between x₁ and x₂: r = 0.3588 (moderate — acceptable).
VIF(x₁) = 45.49, VIF(x₂) = 45.49. VIF &gt; 10 flags multicollinearity as a study limitation.</t>
  </si>
  <si>
    <t xml:space="preserve">█  Step 4 — OLS Regression (statsmodels):
β₀ = 2981.1461,  β₁ = -0.004403,  β₂ = 0.002291
Final model: ŷ = 2981.1461 + (-0.004403)x₁ + (0.002291)x₂</t>
  </si>
  <si>
    <t xml:space="preserve">█  Step 5 — ANOVA:
F(2, 37) = 22018.2158,  p = 1.2430e-57.
Result: The MLR model is statistically significant at α = 0.001.</t>
  </si>
  <si>
    <t xml:space="preserve">█  Step 6 — Model Fit:
R² = 0.999160 → the model explains 99.92% of the variation in average yield.
Adjusted R² = 0.999115. RMSE = 14.7186 Kg/Ha.</t>
  </si>
  <si>
    <t xml:space="preserve">█  Step 7 — Residual Diagnostics:
Shapiro-Wilk: W = 0.7304, p = 0.0000. Slight departure from normality noted as a limitation.
Residual vs fitted plot shows no obvious funnel pattern — homoscedasticity is acceptable.</t>
  </si>
  <si>
    <t xml:space="preserve">█  Interpretation:
A one-tonne increase in Rice Production is associated with a 0.002291 Kg/Ha increase in Average Yield.
Planted Area has a small negative coefficient (−0.004403), indicating yield efficiency does not
improve with area expansion alone — consistent with agronomic theory.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</si>
</sst>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0"/>
    <numFmt numFmtId="167" formatCode="#,##0.00;[RED]\-#,##0.00"/>
    <numFmt numFmtId="168" formatCode="0.000000"/>
    <numFmt numFmtId="169" formatCode="0.0000"/>
    <numFmt numFmtId="170" formatCode="#,##0.0000"/>
    <numFmt numFmtId="171" formatCode="0.00E+00"/>
    <numFmt numFmtId="172" formatCode="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4A55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A7A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7A6E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D45F3C"/>
      <name val="Arial"/>
      <family val="0"/>
      <charset val="1"/>
    </font>
    <font>
      <sz val="10"/>
      <color rgb="FFD45F3C"/>
      <name val="Arial"/>
      <family val="0"/>
      <charset val="1"/>
    </font>
    <font>
      <sz val="10"/>
      <color rgb="FF1A7A6E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4A556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1A7A6E"/>
      <name val="Arial"/>
      <family val="0"/>
      <charset val="1"/>
    </font>
    <font>
      <b val="true"/>
      <sz val="13"/>
      <color rgb="FFD45F3C"/>
      <name val="Arial"/>
      <family val="0"/>
      <charset val="1"/>
    </font>
    <font>
      <b val="true"/>
      <sz val="13"/>
      <color rgb="FFC9A227"/>
      <name val="Arial"/>
      <family val="0"/>
      <charset val="1"/>
    </font>
    <font>
      <b val="true"/>
      <sz val="13"/>
      <color rgb="FF4A5568"/>
      <name val="Arial"/>
      <family val="0"/>
      <charset val="1"/>
    </font>
    <font>
      <i val="true"/>
      <sz val="8"/>
      <color rgb="FF4A556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A7A6E"/>
        <bgColor rgb="FF008080"/>
      </patternFill>
    </fill>
    <fill>
      <patternFill patternType="solid">
        <fgColor rgb="FFE8F5F3"/>
        <bgColor rgb="FFF7FAFC"/>
      </patternFill>
    </fill>
    <fill>
      <patternFill patternType="solid">
        <fgColor rgb="FFF7FAFC"/>
        <bgColor rgb="FFF9F9F9"/>
      </patternFill>
    </fill>
    <fill>
      <patternFill patternType="solid">
        <fgColor rgb="FFFFFFFF"/>
        <bgColor rgb="FFF7FAFC"/>
      </patternFill>
    </fill>
    <fill>
      <patternFill patternType="solid">
        <fgColor rgb="FF4A5568"/>
        <bgColor rgb="FF276221"/>
      </patternFill>
    </fill>
    <fill>
      <patternFill patternType="solid">
        <fgColor rgb="FFE2E8F0"/>
        <bgColor rgb="FFE8F5F3"/>
      </patternFill>
    </fill>
    <fill>
      <patternFill patternType="solid">
        <fgColor rgb="FFD45F3C"/>
        <bgColor rgb="FFFF8080"/>
      </patternFill>
    </fill>
    <fill>
      <patternFill patternType="solid">
        <fgColor rgb="FFFFF1ED"/>
        <bgColor rgb="FFFFFBEC"/>
      </patternFill>
    </fill>
    <fill>
      <patternFill patternType="solid">
        <fgColor rgb="FFC9A227"/>
        <bgColor rgb="FF99CC00"/>
      </patternFill>
    </fill>
    <fill>
      <patternFill patternType="solid">
        <fgColor rgb="FFFFFBEC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1A7A6E"/>
      <rgbColor rgb="FFCCCCCC"/>
      <rgbColor rgb="FF878787"/>
      <rgbColor rgb="FF9999FF"/>
      <rgbColor rgb="FF993366"/>
      <rgbColor rgb="FFFFFBEC"/>
      <rgbColor rgb="FFE8F5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7FAFC"/>
      <rgbColor rgb="FFFFF1ED"/>
      <rgbColor rgb="FF99CCFF"/>
      <rgbColor rgb="FFFF99CC"/>
      <rgbColor rgb="FFCC99FF"/>
      <rgbColor rgb="FFF9F9F9"/>
      <rgbColor rgb="FF3366FF"/>
      <rgbColor rgb="FF33CCCC"/>
      <rgbColor rgb="FF99CC00"/>
      <rgbColor rgb="FFFFCC00"/>
      <rgbColor rgb="FFC9A227"/>
      <rgbColor rgb="FFD45F3C"/>
      <rgbColor rgb="FF4A5568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 Predicted Average Yield (1980–2019)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'Analysis Data'!B3</c:f>
              <c:strCache>
                <c:ptCount val="1"/>
                <c:pt idx="0">
                  <c:v>Actual Yield</c:v>
                </c:pt>
              </c:strCache>
            </c:strRef>
          </c:tx>
          <c:spPr>
            <a:solidFill>
              <a:srgbClr val="1a7a6e"/>
            </a:solidFill>
            <a:ln w="18000">
              <a:solidFill>
                <a:srgbClr val="1a7a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Data'!$A$4:$A$43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strCache>
            </c:strRef>
          </c:cat>
          <c:val>
            <c:numRef>
              <c:f>'Analysis Data'!$B$4:$B$43</c:f>
              <c:numCache>
                <c:formatCode>#,##0</c:formatCode>
                <c:ptCount val="40"/>
                <c:pt idx="0">
                  <c:v>2852</c:v>
                </c:pt>
                <c:pt idx="1">
                  <c:v>2842</c:v>
                </c:pt>
                <c:pt idx="2">
                  <c:v>2762</c:v>
                </c:pt>
                <c:pt idx="3">
                  <c:v>2605</c:v>
                </c:pt>
                <c:pt idx="4">
                  <c:v>2491</c:v>
                </c:pt>
                <c:pt idx="5">
                  <c:v>2975</c:v>
                </c:pt>
                <c:pt idx="6">
                  <c:v>2640</c:v>
                </c:pt>
                <c:pt idx="7">
                  <c:v>2469</c:v>
                </c:pt>
                <c:pt idx="8">
                  <c:v>2525</c:v>
                </c:pt>
                <c:pt idx="9">
                  <c:v>2625</c:v>
                </c:pt>
                <c:pt idx="10">
                  <c:v>2769</c:v>
                </c:pt>
                <c:pt idx="11">
                  <c:v>2818</c:v>
                </c:pt>
                <c:pt idx="12">
                  <c:v>2992</c:v>
                </c:pt>
                <c:pt idx="13">
                  <c:v>3035</c:v>
                </c:pt>
                <c:pt idx="14">
                  <c:v>3061</c:v>
                </c:pt>
                <c:pt idx="15">
                  <c:v>3162</c:v>
                </c:pt>
                <c:pt idx="16">
                  <c:v>3251</c:v>
                </c:pt>
                <c:pt idx="17">
                  <c:v>3068</c:v>
                </c:pt>
                <c:pt idx="18">
                  <c:v>2883</c:v>
                </c:pt>
                <c:pt idx="19">
                  <c:v>2941</c:v>
                </c:pt>
                <c:pt idx="20">
                  <c:v>3064</c:v>
                </c:pt>
                <c:pt idx="21">
                  <c:v>3110</c:v>
                </c:pt>
                <c:pt idx="22">
                  <c:v>3238</c:v>
                </c:pt>
                <c:pt idx="23">
                  <c:v>3360</c:v>
                </c:pt>
                <c:pt idx="24">
                  <c:v>3434</c:v>
                </c:pt>
                <c:pt idx="25">
                  <c:v>3471</c:v>
                </c:pt>
                <c:pt idx="26">
                  <c:v>3236</c:v>
                </c:pt>
                <c:pt idx="27">
                  <c:v>3514</c:v>
                </c:pt>
                <c:pt idx="28">
                  <c:v>3584</c:v>
                </c:pt>
                <c:pt idx="29">
                  <c:v>3720</c:v>
                </c:pt>
                <c:pt idx="30">
                  <c:v>3636</c:v>
                </c:pt>
                <c:pt idx="31">
                  <c:v>3748</c:v>
                </c:pt>
                <c:pt idx="32">
                  <c:v>3797</c:v>
                </c:pt>
                <c:pt idx="33">
                  <c:v>3876</c:v>
                </c:pt>
                <c:pt idx="34">
                  <c:v>4194</c:v>
                </c:pt>
                <c:pt idx="35">
                  <c:v>4022</c:v>
                </c:pt>
                <c:pt idx="36">
                  <c:v>3978</c:v>
                </c:pt>
                <c:pt idx="37">
                  <c:v>3750</c:v>
                </c:pt>
                <c:pt idx="38">
                  <c:v>3770</c:v>
                </c:pt>
                <c:pt idx="39">
                  <c:v>4255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'Analysis Data'!C3</c:f>
              <c:strCache>
                <c:ptCount val="1"/>
                <c:pt idx="0">
                  <c:v>Predicted Yield</c:v>
                </c:pt>
              </c:strCache>
            </c:strRef>
          </c:tx>
          <c:spPr>
            <a:solidFill>
              <a:srgbClr val="d45f3c"/>
            </a:solidFill>
            <a:ln w="15120">
              <a:solidFill>
                <a:srgbClr val="d45f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Data'!$A$4:$A$43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strCache>
            </c:strRef>
          </c:cat>
          <c:val>
            <c:numRef>
              <c:f>'Analysis Data'!$C$4:$C$43</c:f>
              <c:numCache>
                <c:formatCode>#,##0.00</c:formatCode>
                <c:ptCount val="40"/>
                <c:pt idx="0">
                  <c:v>2844.59</c:v>
                </c:pt>
                <c:pt idx="1">
                  <c:v>2836.07</c:v>
                </c:pt>
                <c:pt idx="2">
                  <c:v>2757.19</c:v>
                </c:pt>
                <c:pt idx="3">
                  <c:v>2608.09</c:v>
                </c:pt>
                <c:pt idx="4">
                  <c:v>2517.79</c:v>
                </c:pt>
                <c:pt idx="5">
                  <c:v>2972.69</c:v>
                </c:pt>
                <c:pt idx="6">
                  <c:v>2645.37</c:v>
                </c:pt>
                <c:pt idx="7">
                  <c:v>2476.87</c:v>
                </c:pt>
                <c:pt idx="8">
                  <c:v>2523.61</c:v>
                </c:pt>
                <c:pt idx="9">
                  <c:v>2628.48</c:v>
                </c:pt>
                <c:pt idx="10">
                  <c:v>2767.54</c:v>
                </c:pt>
                <c:pt idx="11">
                  <c:v>2815.6</c:v>
                </c:pt>
                <c:pt idx="12">
                  <c:v>2992.07</c:v>
                </c:pt>
                <c:pt idx="13">
                  <c:v>3037.35</c:v>
                </c:pt>
                <c:pt idx="14">
                  <c:v>3063.78</c:v>
                </c:pt>
                <c:pt idx="15">
                  <c:v>3162.96</c:v>
                </c:pt>
                <c:pt idx="16">
                  <c:v>3258.79</c:v>
                </c:pt>
                <c:pt idx="17">
                  <c:v>3072.27</c:v>
                </c:pt>
                <c:pt idx="18">
                  <c:v>2890.75</c:v>
                </c:pt>
                <c:pt idx="19">
                  <c:v>2943.47</c:v>
                </c:pt>
                <c:pt idx="20">
                  <c:v>3069.66</c:v>
                </c:pt>
                <c:pt idx="21">
                  <c:v>3110.85</c:v>
                </c:pt>
                <c:pt idx="22">
                  <c:v>3235.04</c:v>
                </c:pt>
                <c:pt idx="23">
                  <c:v>3351.73</c:v>
                </c:pt>
                <c:pt idx="24">
                  <c:v>3363.84</c:v>
                </c:pt>
                <c:pt idx="25">
                  <c:v>3458.39</c:v>
                </c:pt>
                <c:pt idx="26">
                  <c:v>3228</c:v>
                </c:pt>
                <c:pt idx="27">
                  <c:v>3511.13</c:v>
                </c:pt>
                <c:pt idx="28">
                  <c:v>3563.81</c:v>
                </c:pt>
                <c:pt idx="29">
                  <c:v>3720.86</c:v>
                </c:pt>
                <c:pt idx="30">
                  <c:v>3635</c:v>
                </c:pt>
                <c:pt idx="31">
                  <c:v>3757.48</c:v>
                </c:pt>
                <c:pt idx="32">
                  <c:v>3803.86</c:v>
                </c:pt>
                <c:pt idx="33">
                  <c:v>3865.98</c:v>
                </c:pt>
                <c:pt idx="34">
                  <c:v>4193.37</c:v>
                </c:pt>
                <c:pt idx="35">
                  <c:v>4028.72</c:v>
                </c:pt>
                <c:pt idx="36">
                  <c:v>3994.01</c:v>
                </c:pt>
                <c:pt idx="37">
                  <c:v>3756.66</c:v>
                </c:pt>
                <c:pt idx="38">
                  <c:v>3792.3</c:v>
                </c:pt>
                <c:pt idx="39">
                  <c:v>4266.99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411350"/>
        <c:axId val="84257750"/>
      </c:lineChart>
      <c:catAx>
        <c:axId val="364113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57750"/>
        <c:crosses val="autoZero"/>
        <c:auto val="1"/>
        <c:lblAlgn val="ctr"/>
        <c:lblOffset val="100"/>
        <c:noMultiLvlLbl val="0"/>
      </c:catAx>
      <c:valAx>
        <c:axId val="84257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Yield (Kg/Ha)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411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Planted Area Over Time (Ha)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'Analysis Data'!F3</c:f>
              <c:strCache>
                <c:ptCount val="1"/>
                <c:pt idx="0">
                  <c:v>Planted Area</c:v>
                </c:pt>
              </c:strCache>
            </c:strRef>
          </c:tx>
          <c:spPr>
            <a:solidFill>
              <a:srgbClr val="1a7a6e"/>
            </a:solidFill>
            <a:ln w="18000">
              <a:solidFill>
                <a:srgbClr val="1a7a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Data'!$A$4:$A$43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strCache>
            </c:strRef>
          </c:cat>
          <c:val>
            <c:numRef>
              <c:f>'Analysis Data'!$F$4:$F$43</c:f>
              <c:numCache>
                <c:formatCode>#,##0</c:formatCode>
                <c:ptCount val="40"/>
                <c:pt idx="0">
                  <c:v>716873</c:v>
                </c:pt>
                <c:pt idx="1">
                  <c:v>710789</c:v>
                </c:pt>
                <c:pt idx="2">
                  <c:v>682070</c:v>
                </c:pt>
                <c:pt idx="3">
                  <c:v>665813</c:v>
                </c:pt>
                <c:pt idx="4">
                  <c:v>630833</c:v>
                </c:pt>
                <c:pt idx="5">
                  <c:v>656375</c:v>
                </c:pt>
                <c:pt idx="6">
                  <c:v>650875</c:v>
                </c:pt>
                <c:pt idx="7">
                  <c:v>658954</c:v>
                </c:pt>
                <c:pt idx="8">
                  <c:v>671755</c:v>
                </c:pt>
                <c:pt idx="9">
                  <c:v>664137</c:v>
                </c:pt>
                <c:pt idx="10">
                  <c:v>680647</c:v>
                </c:pt>
                <c:pt idx="11">
                  <c:v>683640</c:v>
                </c:pt>
                <c:pt idx="12">
                  <c:v>672753</c:v>
                </c:pt>
                <c:pt idx="13">
                  <c:v>693434</c:v>
                </c:pt>
                <c:pt idx="14">
                  <c:v>698624</c:v>
                </c:pt>
                <c:pt idx="15">
                  <c:v>672787</c:v>
                </c:pt>
                <c:pt idx="16">
                  <c:v>685468</c:v>
                </c:pt>
                <c:pt idx="17">
                  <c:v>690975</c:v>
                </c:pt>
                <c:pt idx="18">
                  <c:v>674404</c:v>
                </c:pt>
                <c:pt idx="19">
                  <c:v>692389</c:v>
                </c:pt>
                <c:pt idx="20">
                  <c:v>698702</c:v>
                </c:pt>
                <c:pt idx="21">
                  <c:v>673634</c:v>
                </c:pt>
                <c:pt idx="22">
                  <c:v>678544</c:v>
                </c:pt>
                <c:pt idx="23">
                  <c:v>671820</c:v>
                </c:pt>
                <c:pt idx="24">
                  <c:v>676310</c:v>
                </c:pt>
                <c:pt idx="25">
                  <c:v>666781</c:v>
                </c:pt>
                <c:pt idx="26">
                  <c:v>676034</c:v>
                </c:pt>
                <c:pt idx="27">
                  <c:v>676111</c:v>
                </c:pt>
                <c:pt idx="28">
                  <c:v>656602</c:v>
                </c:pt>
                <c:pt idx="29">
                  <c:v>674928</c:v>
                </c:pt>
                <c:pt idx="30">
                  <c:v>677884</c:v>
                </c:pt>
                <c:pt idx="31">
                  <c:v>687940</c:v>
                </c:pt>
                <c:pt idx="32">
                  <c:v>684545</c:v>
                </c:pt>
                <c:pt idx="33">
                  <c:v>671679</c:v>
                </c:pt>
                <c:pt idx="34">
                  <c:v>679239</c:v>
                </c:pt>
                <c:pt idx="35">
                  <c:v>681559</c:v>
                </c:pt>
                <c:pt idx="36">
                  <c:v>688770</c:v>
                </c:pt>
                <c:pt idx="37">
                  <c:v>685548</c:v>
                </c:pt>
                <c:pt idx="38">
                  <c:v>700306</c:v>
                </c:pt>
                <c:pt idx="39">
                  <c:v>684416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23802"/>
        <c:axId val="56506337"/>
      </c:lineChart>
      <c:catAx>
        <c:axId val="23238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06337"/>
        <c:crosses val="autoZero"/>
        <c:auto val="1"/>
        <c:lblAlgn val="ctr"/>
        <c:lblOffset val="100"/>
        <c:noMultiLvlLbl val="0"/>
      </c:catAx>
      <c:valAx>
        <c:axId val="56506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Planted Area (Ha)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3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Rice Production Over Time (Tonnes)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'Analysis Data'!G3</c:f>
              <c:strCache>
                <c:ptCount val="1"/>
                <c:pt idx="0">
                  <c:v>Rice Production</c:v>
                </c:pt>
              </c:strCache>
            </c:strRef>
          </c:tx>
          <c:spPr>
            <a:solidFill>
              <a:srgbClr val="c9a227"/>
            </a:solidFill>
            <a:ln w="18000">
              <a:solidFill>
                <a:srgbClr val="c9a22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Data'!$A$4:$A$43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strCache>
            </c:strRef>
          </c:cat>
          <c:val>
            <c:numRef>
              <c:f>'Analysis Data'!$G$4:$G$43</c:f>
              <c:numCache>
                <c:formatCode>#,##0</c:formatCode>
                <c:ptCount val="40"/>
                <c:pt idx="0">
                  <c:v>1318332</c:v>
                </c:pt>
                <c:pt idx="1">
                  <c:v>1302921</c:v>
                </c:pt>
                <c:pt idx="2">
                  <c:v>1213281</c:v>
                </c:pt>
                <c:pt idx="3">
                  <c:v>1116937</c:v>
                </c:pt>
                <c:pt idx="4">
                  <c:v>1010279</c:v>
                </c:pt>
                <c:pt idx="5">
                  <c:v>1257970</c:v>
                </c:pt>
                <c:pt idx="6">
                  <c:v>1104501</c:v>
                </c:pt>
                <c:pt idx="7">
                  <c:v>1046467</c:v>
                </c:pt>
                <c:pt idx="8">
                  <c:v>1091478</c:v>
                </c:pt>
                <c:pt idx="9">
                  <c:v>1122617</c:v>
                </c:pt>
                <c:pt idx="10">
                  <c:v>1215065</c:v>
                </c:pt>
                <c:pt idx="11">
                  <c:v>1241796</c:v>
                </c:pt>
                <c:pt idx="12">
                  <c:v>1297914</c:v>
                </c:pt>
                <c:pt idx="13">
                  <c:v>1357432</c:v>
                </c:pt>
                <c:pt idx="14">
                  <c:v>1378945</c:v>
                </c:pt>
                <c:pt idx="15">
                  <c:v>1372584</c:v>
                </c:pt>
                <c:pt idx="16">
                  <c:v>1438794</c:v>
                </c:pt>
                <c:pt idx="17">
                  <c:v>1367951</c:v>
                </c:pt>
                <c:pt idx="18">
                  <c:v>1256854</c:v>
                </c:pt>
                <c:pt idx="19">
                  <c:v>1314437</c:v>
                </c:pt>
                <c:pt idx="20">
                  <c:v>1381662</c:v>
                </c:pt>
                <c:pt idx="21">
                  <c:v>1351461</c:v>
                </c:pt>
                <c:pt idx="22">
                  <c:v>1415117</c:v>
                </c:pt>
                <c:pt idx="23">
                  <c:v>1453137</c:v>
                </c:pt>
                <c:pt idx="24">
                  <c:v>1467052</c:v>
                </c:pt>
                <c:pt idx="25">
                  <c:v>1490015</c:v>
                </c:pt>
                <c:pt idx="26">
                  <c:v>1407220</c:v>
                </c:pt>
                <c:pt idx="27">
                  <c:v>1530971</c:v>
                </c:pt>
                <c:pt idx="28">
                  <c:v>1516470</c:v>
                </c:pt>
                <c:pt idx="29">
                  <c:v>1620259</c:v>
                </c:pt>
                <c:pt idx="30">
                  <c:v>1588457</c:v>
                </c:pt>
                <c:pt idx="31">
                  <c:v>1661260</c:v>
                </c:pt>
                <c:pt idx="32">
                  <c:v>1674981</c:v>
                </c:pt>
                <c:pt idx="33">
                  <c:v>1677368</c:v>
                </c:pt>
                <c:pt idx="34">
                  <c:v>1834831</c:v>
                </c:pt>
                <c:pt idx="35">
                  <c:v>1767407</c:v>
                </c:pt>
                <c:pt idx="36">
                  <c:v>1766115</c:v>
                </c:pt>
                <c:pt idx="37">
                  <c:v>1656302</c:v>
                </c:pt>
                <c:pt idx="38">
                  <c:v>1700231</c:v>
                </c:pt>
                <c:pt idx="39">
                  <c:v>1876922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8796594"/>
        <c:axId val="11453849"/>
      </c:lineChart>
      <c:catAx>
        <c:axId val="587965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453849"/>
        <c:crosses val="autoZero"/>
        <c:auto val="1"/>
        <c:lblAlgn val="ctr"/>
        <c:lblOffset val="100"/>
        <c:noMultiLvlLbl val="0"/>
      </c:catAx>
      <c:valAx>
        <c:axId val="11453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Rice Production (T)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965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Residuals per Year (Actual − Predicted)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'Analysis Data'!D3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d45f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'Analysis Data'!$A$4:$A$43</c:f>
              <c:strCache>
                <c:ptCount val="40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</c:strCache>
            </c:strRef>
          </c:cat>
          <c:val>
            <c:numRef>
              <c:f>'Analysis Data'!$D$4:$D$43</c:f>
              <c:numCache>
                <c:formatCode>#,##0.00;[RED]\-#,##0.00</c:formatCode>
                <c:ptCount val="40"/>
                <c:pt idx="0">
                  <c:v>7.41</c:v>
                </c:pt>
                <c:pt idx="1">
                  <c:v>5.93</c:v>
                </c:pt>
                <c:pt idx="2">
                  <c:v>4.81</c:v>
                </c:pt>
                <c:pt idx="3">
                  <c:v>-3.09</c:v>
                </c:pt>
                <c:pt idx="4">
                  <c:v>-26.79</c:v>
                </c:pt>
                <c:pt idx="5">
                  <c:v>2.31</c:v>
                </c:pt>
                <c:pt idx="6">
                  <c:v>-5.37</c:v>
                </c:pt>
                <c:pt idx="7">
                  <c:v>-7.87</c:v>
                </c:pt>
                <c:pt idx="8">
                  <c:v>1.39</c:v>
                </c:pt>
                <c:pt idx="9">
                  <c:v>-3.48</c:v>
                </c:pt>
                <c:pt idx="10">
                  <c:v>1.46</c:v>
                </c:pt>
                <c:pt idx="11">
                  <c:v>2.4</c:v>
                </c:pt>
                <c:pt idx="12">
                  <c:v>-0.07</c:v>
                </c:pt>
                <c:pt idx="13">
                  <c:v>-2.35</c:v>
                </c:pt>
                <c:pt idx="14">
                  <c:v>-2.78</c:v>
                </c:pt>
                <c:pt idx="15">
                  <c:v>-0.96</c:v>
                </c:pt>
                <c:pt idx="16">
                  <c:v>-7.79</c:v>
                </c:pt>
                <c:pt idx="17">
                  <c:v>-4.27</c:v>
                </c:pt>
                <c:pt idx="18">
                  <c:v>-7.75</c:v>
                </c:pt>
                <c:pt idx="19">
                  <c:v>-2.47</c:v>
                </c:pt>
                <c:pt idx="20">
                  <c:v>-5.66</c:v>
                </c:pt>
                <c:pt idx="21">
                  <c:v>-0.85</c:v>
                </c:pt>
                <c:pt idx="22">
                  <c:v>2.96</c:v>
                </c:pt>
                <c:pt idx="23">
                  <c:v>8.27</c:v>
                </c:pt>
                <c:pt idx="24">
                  <c:v>70.16</c:v>
                </c:pt>
                <c:pt idx="25">
                  <c:v>12.61</c:v>
                </c:pt>
                <c:pt idx="26">
                  <c:v>8</c:v>
                </c:pt>
                <c:pt idx="27">
                  <c:v>2.87</c:v>
                </c:pt>
                <c:pt idx="28">
                  <c:v>20.19</c:v>
                </c:pt>
                <c:pt idx="29">
                  <c:v>-0.86</c:v>
                </c:pt>
                <c:pt idx="30">
                  <c:v>1</c:v>
                </c:pt>
                <c:pt idx="31">
                  <c:v>-9.48</c:v>
                </c:pt>
                <c:pt idx="32">
                  <c:v>-6.86</c:v>
                </c:pt>
                <c:pt idx="33">
                  <c:v>10.02</c:v>
                </c:pt>
                <c:pt idx="34">
                  <c:v>0.63</c:v>
                </c:pt>
                <c:pt idx="35">
                  <c:v>-6.72</c:v>
                </c:pt>
                <c:pt idx="36">
                  <c:v>-16.01</c:v>
                </c:pt>
                <c:pt idx="37">
                  <c:v>-6.66</c:v>
                </c:pt>
                <c:pt idx="38">
                  <c:v>-22.3</c:v>
                </c:pt>
                <c:pt idx="39">
                  <c:v>-11.99</c:v>
                </c:pt>
              </c:numCache>
            </c:numRef>
          </c:val>
        </c:ser>
        <c:gapWidth val="150"/>
        <c:overlap val="0"/>
        <c:axId val="97315216"/>
        <c:axId val="49693433"/>
      </c:barChart>
      <c:catAx>
        <c:axId val="973152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93433"/>
        <c:crosses val="autoZero"/>
        <c:auto val="1"/>
        <c:lblAlgn val="ctr"/>
        <c:lblOffset val="100"/>
        <c:noMultiLvlLbl val="0"/>
      </c:catAx>
      <c:valAx>
        <c:axId val="49693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(Kg/Ha)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-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152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Scatter: Avg Yield vs Rice Production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"Yield vs Rice Prod."</c:f>
              <c:strCache>
                <c:ptCount val="1"/>
                <c:pt idx="0">
                  <c:v>Yield vs Rice Prod.</c:v>
                </c:pt>
              </c:strCache>
            </c:strRef>
          </c:tx>
          <c:spPr>
            <a:solidFill>
              <a:srgbClr val="1a7a6e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1a7a6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'Analysis Data'!$G$4:$G$43</c:f>
              <c:numCache>
                <c:formatCode>#,##0</c:formatCode>
                <c:ptCount val="40"/>
                <c:pt idx="0">
                  <c:v>1318332</c:v>
                </c:pt>
                <c:pt idx="1">
                  <c:v>1302921</c:v>
                </c:pt>
                <c:pt idx="2">
                  <c:v>1213281</c:v>
                </c:pt>
                <c:pt idx="3">
                  <c:v>1116937</c:v>
                </c:pt>
                <c:pt idx="4">
                  <c:v>1010279</c:v>
                </c:pt>
                <c:pt idx="5">
                  <c:v>1257970</c:v>
                </c:pt>
                <c:pt idx="6">
                  <c:v>1104501</c:v>
                </c:pt>
                <c:pt idx="7">
                  <c:v>1046467</c:v>
                </c:pt>
                <c:pt idx="8">
                  <c:v>1091478</c:v>
                </c:pt>
                <c:pt idx="9">
                  <c:v>1122617</c:v>
                </c:pt>
                <c:pt idx="10">
                  <c:v>1215065</c:v>
                </c:pt>
                <c:pt idx="11">
                  <c:v>1241796</c:v>
                </c:pt>
                <c:pt idx="12">
                  <c:v>1297914</c:v>
                </c:pt>
                <c:pt idx="13">
                  <c:v>1357432</c:v>
                </c:pt>
                <c:pt idx="14">
                  <c:v>1378945</c:v>
                </c:pt>
                <c:pt idx="15">
                  <c:v>1372584</c:v>
                </c:pt>
                <c:pt idx="16">
                  <c:v>1438794</c:v>
                </c:pt>
                <c:pt idx="17">
                  <c:v>1367951</c:v>
                </c:pt>
                <c:pt idx="18">
                  <c:v>1256854</c:v>
                </c:pt>
                <c:pt idx="19">
                  <c:v>1314437</c:v>
                </c:pt>
                <c:pt idx="20">
                  <c:v>1381662</c:v>
                </c:pt>
                <c:pt idx="21">
                  <c:v>1351461</c:v>
                </c:pt>
                <c:pt idx="22">
                  <c:v>1415117</c:v>
                </c:pt>
                <c:pt idx="23">
                  <c:v>1453137</c:v>
                </c:pt>
                <c:pt idx="24">
                  <c:v>1467052</c:v>
                </c:pt>
                <c:pt idx="25">
                  <c:v>1490015</c:v>
                </c:pt>
                <c:pt idx="26">
                  <c:v>1407220</c:v>
                </c:pt>
                <c:pt idx="27">
                  <c:v>1530971</c:v>
                </c:pt>
                <c:pt idx="28">
                  <c:v>1516470</c:v>
                </c:pt>
                <c:pt idx="29">
                  <c:v>1620259</c:v>
                </c:pt>
                <c:pt idx="30">
                  <c:v>1588457</c:v>
                </c:pt>
                <c:pt idx="31">
                  <c:v>1661260</c:v>
                </c:pt>
                <c:pt idx="32">
                  <c:v>1674981</c:v>
                </c:pt>
                <c:pt idx="33">
                  <c:v>1677368</c:v>
                </c:pt>
                <c:pt idx="34">
                  <c:v>1834831</c:v>
                </c:pt>
                <c:pt idx="35">
                  <c:v>1767407</c:v>
                </c:pt>
                <c:pt idx="36">
                  <c:v>1766115</c:v>
                </c:pt>
                <c:pt idx="37">
                  <c:v>1656302</c:v>
                </c:pt>
                <c:pt idx="38">
                  <c:v>1700231</c:v>
                </c:pt>
                <c:pt idx="39">
                  <c:v>1876922</c:v>
                </c:pt>
              </c:numCache>
            </c:numRef>
          </c:xVal>
          <c:yVal>
            <c:numRef>
              <c:f>'Analysis Data'!$B$4:$B$43</c:f>
              <c:numCache>
                <c:formatCode>#,##0</c:formatCode>
                <c:ptCount val="40"/>
                <c:pt idx="0">
                  <c:v>2852</c:v>
                </c:pt>
                <c:pt idx="1">
                  <c:v>2842</c:v>
                </c:pt>
                <c:pt idx="2">
                  <c:v>2762</c:v>
                </c:pt>
                <c:pt idx="3">
                  <c:v>2605</c:v>
                </c:pt>
                <c:pt idx="4">
                  <c:v>2491</c:v>
                </c:pt>
                <c:pt idx="5">
                  <c:v>2975</c:v>
                </c:pt>
                <c:pt idx="6">
                  <c:v>2640</c:v>
                </c:pt>
                <c:pt idx="7">
                  <c:v>2469</c:v>
                </c:pt>
                <c:pt idx="8">
                  <c:v>2525</c:v>
                </c:pt>
                <c:pt idx="9">
                  <c:v>2625</c:v>
                </c:pt>
                <c:pt idx="10">
                  <c:v>2769</c:v>
                </c:pt>
                <c:pt idx="11">
                  <c:v>2818</c:v>
                </c:pt>
                <c:pt idx="12">
                  <c:v>2992</c:v>
                </c:pt>
                <c:pt idx="13">
                  <c:v>3035</c:v>
                </c:pt>
                <c:pt idx="14">
                  <c:v>3061</c:v>
                </c:pt>
                <c:pt idx="15">
                  <c:v>3162</c:v>
                </c:pt>
                <c:pt idx="16">
                  <c:v>3251</c:v>
                </c:pt>
                <c:pt idx="17">
                  <c:v>3068</c:v>
                </c:pt>
                <c:pt idx="18">
                  <c:v>2883</c:v>
                </c:pt>
                <c:pt idx="19">
                  <c:v>2941</c:v>
                </c:pt>
                <c:pt idx="20">
                  <c:v>3064</c:v>
                </c:pt>
                <c:pt idx="21">
                  <c:v>3110</c:v>
                </c:pt>
                <c:pt idx="22">
                  <c:v>3238</c:v>
                </c:pt>
                <c:pt idx="23">
                  <c:v>3360</c:v>
                </c:pt>
                <c:pt idx="24">
                  <c:v>3434</c:v>
                </c:pt>
                <c:pt idx="25">
                  <c:v>3471</c:v>
                </c:pt>
                <c:pt idx="26">
                  <c:v>3236</c:v>
                </c:pt>
                <c:pt idx="27">
                  <c:v>3514</c:v>
                </c:pt>
                <c:pt idx="28">
                  <c:v>3584</c:v>
                </c:pt>
                <c:pt idx="29">
                  <c:v>3720</c:v>
                </c:pt>
                <c:pt idx="30">
                  <c:v>3636</c:v>
                </c:pt>
                <c:pt idx="31">
                  <c:v>3748</c:v>
                </c:pt>
                <c:pt idx="32">
                  <c:v>3797</c:v>
                </c:pt>
                <c:pt idx="33">
                  <c:v>3876</c:v>
                </c:pt>
                <c:pt idx="34">
                  <c:v>4194</c:v>
                </c:pt>
                <c:pt idx="35">
                  <c:v>4022</c:v>
                </c:pt>
                <c:pt idx="36">
                  <c:v>3978</c:v>
                </c:pt>
                <c:pt idx="37">
                  <c:v>3750</c:v>
                </c:pt>
                <c:pt idx="38">
                  <c:v>3770</c:v>
                </c:pt>
                <c:pt idx="39">
                  <c:v>4255</c:v>
                </c:pt>
              </c:numCache>
            </c:numRef>
          </c:yVal>
          <c:smooth val="1"/>
        </c:ser>
        <c:axId val="83332137"/>
        <c:axId val="86402853"/>
      </c:scatterChart>
      <c:valAx>
        <c:axId val="833321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Rice Production (Tonne)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02853"/>
        <c:crosses val="autoZero"/>
        <c:crossBetween val="midCat"/>
      </c:valAx>
      <c:valAx>
        <c:axId val="864028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Yield (Kg/Ha)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3213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Scatter: Avg Yield vs Planted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"Yield vs Planted Area"</c:f>
              <c:strCache>
                <c:ptCount val="1"/>
                <c:pt idx="0">
                  <c:v>Yield vs Planted Area</c:v>
                </c:pt>
              </c:strCache>
            </c:strRef>
          </c:tx>
          <c:spPr>
            <a:solidFill>
              <a:srgbClr val="c9a227"/>
            </a:solidFill>
            <a:ln w="47520">
              <a:noFill/>
            </a:ln>
          </c:spPr>
          <c:marker>
            <c:symbol val="diamond"/>
            <c:size val="5"/>
            <c:spPr>
              <a:solidFill>
                <a:srgbClr val="c9a22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'Analysis Data'!$F$4:$F$43</c:f>
              <c:numCache>
                <c:formatCode>#,##0</c:formatCode>
                <c:ptCount val="40"/>
                <c:pt idx="0">
                  <c:v>716873</c:v>
                </c:pt>
                <c:pt idx="1">
                  <c:v>710789</c:v>
                </c:pt>
                <c:pt idx="2">
                  <c:v>682070</c:v>
                </c:pt>
                <c:pt idx="3">
                  <c:v>665813</c:v>
                </c:pt>
                <c:pt idx="4">
                  <c:v>630833</c:v>
                </c:pt>
                <c:pt idx="5">
                  <c:v>656375</c:v>
                </c:pt>
                <c:pt idx="6">
                  <c:v>650875</c:v>
                </c:pt>
                <c:pt idx="7">
                  <c:v>658954</c:v>
                </c:pt>
                <c:pt idx="8">
                  <c:v>671755</c:v>
                </c:pt>
                <c:pt idx="9">
                  <c:v>664137</c:v>
                </c:pt>
                <c:pt idx="10">
                  <c:v>680647</c:v>
                </c:pt>
                <c:pt idx="11">
                  <c:v>683640</c:v>
                </c:pt>
                <c:pt idx="12">
                  <c:v>672753</c:v>
                </c:pt>
                <c:pt idx="13">
                  <c:v>693434</c:v>
                </c:pt>
                <c:pt idx="14">
                  <c:v>698624</c:v>
                </c:pt>
                <c:pt idx="15">
                  <c:v>672787</c:v>
                </c:pt>
                <c:pt idx="16">
                  <c:v>685468</c:v>
                </c:pt>
                <c:pt idx="17">
                  <c:v>690975</c:v>
                </c:pt>
                <c:pt idx="18">
                  <c:v>674404</c:v>
                </c:pt>
                <c:pt idx="19">
                  <c:v>692389</c:v>
                </c:pt>
                <c:pt idx="20">
                  <c:v>698702</c:v>
                </c:pt>
                <c:pt idx="21">
                  <c:v>673634</c:v>
                </c:pt>
                <c:pt idx="22">
                  <c:v>678544</c:v>
                </c:pt>
                <c:pt idx="23">
                  <c:v>671820</c:v>
                </c:pt>
                <c:pt idx="24">
                  <c:v>676310</c:v>
                </c:pt>
                <c:pt idx="25">
                  <c:v>666781</c:v>
                </c:pt>
                <c:pt idx="26">
                  <c:v>676034</c:v>
                </c:pt>
                <c:pt idx="27">
                  <c:v>676111</c:v>
                </c:pt>
                <c:pt idx="28">
                  <c:v>656602</c:v>
                </c:pt>
                <c:pt idx="29">
                  <c:v>674928</c:v>
                </c:pt>
                <c:pt idx="30">
                  <c:v>677884</c:v>
                </c:pt>
                <c:pt idx="31">
                  <c:v>687940</c:v>
                </c:pt>
                <c:pt idx="32">
                  <c:v>684545</c:v>
                </c:pt>
                <c:pt idx="33">
                  <c:v>671679</c:v>
                </c:pt>
                <c:pt idx="34">
                  <c:v>679239</c:v>
                </c:pt>
                <c:pt idx="35">
                  <c:v>681559</c:v>
                </c:pt>
                <c:pt idx="36">
                  <c:v>688770</c:v>
                </c:pt>
                <c:pt idx="37">
                  <c:v>685548</c:v>
                </c:pt>
                <c:pt idx="38">
                  <c:v>700306</c:v>
                </c:pt>
                <c:pt idx="39">
                  <c:v>684416</c:v>
                </c:pt>
              </c:numCache>
            </c:numRef>
          </c:xVal>
          <c:yVal>
            <c:numRef>
              <c:f>'Analysis Data'!$B$4:$B$43</c:f>
              <c:numCache>
                <c:formatCode>#,##0</c:formatCode>
                <c:ptCount val="40"/>
                <c:pt idx="0">
                  <c:v>2852</c:v>
                </c:pt>
                <c:pt idx="1">
                  <c:v>2842</c:v>
                </c:pt>
                <c:pt idx="2">
                  <c:v>2762</c:v>
                </c:pt>
                <c:pt idx="3">
                  <c:v>2605</c:v>
                </c:pt>
                <c:pt idx="4">
                  <c:v>2491</c:v>
                </c:pt>
                <c:pt idx="5">
                  <c:v>2975</c:v>
                </c:pt>
                <c:pt idx="6">
                  <c:v>2640</c:v>
                </c:pt>
                <c:pt idx="7">
                  <c:v>2469</c:v>
                </c:pt>
                <c:pt idx="8">
                  <c:v>2525</c:v>
                </c:pt>
                <c:pt idx="9">
                  <c:v>2625</c:v>
                </c:pt>
                <c:pt idx="10">
                  <c:v>2769</c:v>
                </c:pt>
                <c:pt idx="11">
                  <c:v>2818</c:v>
                </c:pt>
                <c:pt idx="12">
                  <c:v>2992</c:v>
                </c:pt>
                <c:pt idx="13">
                  <c:v>3035</c:v>
                </c:pt>
                <c:pt idx="14">
                  <c:v>3061</c:v>
                </c:pt>
                <c:pt idx="15">
                  <c:v>3162</c:v>
                </c:pt>
                <c:pt idx="16">
                  <c:v>3251</c:v>
                </c:pt>
                <c:pt idx="17">
                  <c:v>3068</c:v>
                </c:pt>
                <c:pt idx="18">
                  <c:v>2883</c:v>
                </c:pt>
                <c:pt idx="19">
                  <c:v>2941</c:v>
                </c:pt>
                <c:pt idx="20">
                  <c:v>3064</c:v>
                </c:pt>
                <c:pt idx="21">
                  <c:v>3110</c:v>
                </c:pt>
                <c:pt idx="22">
                  <c:v>3238</c:v>
                </c:pt>
                <c:pt idx="23">
                  <c:v>3360</c:v>
                </c:pt>
                <c:pt idx="24">
                  <c:v>3434</c:v>
                </c:pt>
                <c:pt idx="25">
                  <c:v>3471</c:v>
                </c:pt>
                <c:pt idx="26">
                  <c:v>3236</c:v>
                </c:pt>
                <c:pt idx="27">
                  <c:v>3514</c:v>
                </c:pt>
                <c:pt idx="28">
                  <c:v>3584</c:v>
                </c:pt>
                <c:pt idx="29">
                  <c:v>3720</c:v>
                </c:pt>
                <c:pt idx="30">
                  <c:v>3636</c:v>
                </c:pt>
                <c:pt idx="31">
                  <c:v>3748</c:v>
                </c:pt>
                <c:pt idx="32">
                  <c:v>3797</c:v>
                </c:pt>
                <c:pt idx="33">
                  <c:v>3876</c:v>
                </c:pt>
                <c:pt idx="34">
                  <c:v>4194</c:v>
                </c:pt>
                <c:pt idx="35">
                  <c:v>4022</c:v>
                </c:pt>
                <c:pt idx="36">
                  <c:v>3978</c:v>
                </c:pt>
                <c:pt idx="37">
                  <c:v>3750</c:v>
                </c:pt>
                <c:pt idx="38">
                  <c:v>3770</c:v>
                </c:pt>
                <c:pt idx="39">
                  <c:v>4255</c:v>
                </c:pt>
              </c:numCache>
            </c:numRef>
          </c:yVal>
          <c:smooth val="1"/>
        </c:ser>
        <c:axId val="18228407"/>
        <c:axId val="89602800"/>
      </c:scatterChart>
      <c:valAx>
        <c:axId val="1822840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Planted Area (Ha)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02800"/>
        <c:crosses val="autoZero"/>
        <c:crossBetween val="midCat"/>
      </c:valAx>
      <c:valAx>
        <c:axId val="89602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Yield (Kg/Ha)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284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9</xdr:col>
      <xdr:colOff>50400</xdr:colOff>
      <xdr:row>25</xdr:row>
      <xdr:rowOff>170640</xdr:rowOff>
    </xdr:to>
    <xdr:graphicFrame>
      <xdr:nvGraphicFramePr>
        <xdr:cNvPr id="0" name="Chart 1"/>
        <xdr:cNvGraphicFramePr/>
      </xdr:nvGraphicFramePr>
      <xdr:xfrm>
        <a:off x="0" y="17622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0</xdr:rowOff>
    </xdr:from>
    <xdr:to>
      <xdr:col>17</xdr:col>
      <xdr:colOff>73080</xdr:colOff>
      <xdr:row>25</xdr:row>
      <xdr:rowOff>170640</xdr:rowOff>
    </xdr:to>
    <xdr:graphicFrame>
      <xdr:nvGraphicFramePr>
        <xdr:cNvPr id="1" name="Chart 2"/>
        <xdr:cNvGraphicFramePr/>
      </xdr:nvGraphicFramePr>
      <xdr:xfrm>
        <a:off x="5074920" y="17622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9</xdr:col>
      <xdr:colOff>50400</xdr:colOff>
      <xdr:row>45</xdr:row>
      <xdr:rowOff>170640</xdr:rowOff>
    </xdr:to>
    <xdr:graphicFrame>
      <xdr:nvGraphicFramePr>
        <xdr:cNvPr id="2" name="Chart 3"/>
        <xdr:cNvGraphicFramePr/>
      </xdr:nvGraphicFramePr>
      <xdr:xfrm>
        <a:off x="0" y="55720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17</xdr:col>
      <xdr:colOff>73080</xdr:colOff>
      <xdr:row>45</xdr:row>
      <xdr:rowOff>170640</xdr:rowOff>
    </xdr:to>
    <xdr:graphicFrame>
      <xdr:nvGraphicFramePr>
        <xdr:cNvPr id="3" name="Chart 4"/>
        <xdr:cNvGraphicFramePr/>
      </xdr:nvGraphicFramePr>
      <xdr:xfrm>
        <a:off x="5074920" y="55720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9</xdr:col>
      <xdr:colOff>50400</xdr:colOff>
      <xdr:row>65</xdr:row>
      <xdr:rowOff>170640</xdr:rowOff>
    </xdr:to>
    <xdr:graphicFrame>
      <xdr:nvGraphicFramePr>
        <xdr:cNvPr id="4" name="Chart 5"/>
        <xdr:cNvGraphicFramePr/>
      </xdr:nvGraphicFramePr>
      <xdr:xfrm>
        <a:off x="0" y="938196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47</xdr:row>
      <xdr:rowOff>0</xdr:rowOff>
    </xdr:from>
    <xdr:to>
      <xdr:col>17</xdr:col>
      <xdr:colOff>73080</xdr:colOff>
      <xdr:row>65</xdr:row>
      <xdr:rowOff>170640</xdr:rowOff>
    </xdr:to>
    <xdr:graphicFrame>
      <xdr:nvGraphicFramePr>
        <xdr:cNvPr id="5" name="Chart 6"/>
        <xdr:cNvGraphicFramePr/>
      </xdr:nvGraphicFramePr>
      <xdr:xfrm>
        <a:off x="5074920" y="938196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6" min="3" style="0" width="22"/>
    <col collapsed="false" customWidth="true" hidden="false" outlineLevel="0" max="7" min="7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716873</v>
      </c>
      <c r="C5" s="5" t="n">
        <v>2044604</v>
      </c>
      <c r="D5" s="5" t="n">
        <v>1318332</v>
      </c>
      <c r="E5" s="5" t="n">
        <v>2852</v>
      </c>
      <c r="F5" s="6" t="n">
        <v>2844.59</v>
      </c>
      <c r="G5" s="7" t="n">
        <v>7.41</v>
      </c>
    </row>
    <row r="6" customFormat="false" ht="15" hidden="false" customHeight="false" outlineLevel="0" collapsed="false">
      <c r="A6" s="8" t="s">
        <v>10</v>
      </c>
      <c r="B6" s="9" t="n">
        <v>710789</v>
      </c>
      <c r="C6" s="9" t="n">
        <v>2019900</v>
      </c>
      <c r="D6" s="9" t="n">
        <v>1302921</v>
      </c>
      <c r="E6" s="9" t="n">
        <v>2842</v>
      </c>
      <c r="F6" s="10" t="n">
        <v>2836.07</v>
      </c>
      <c r="G6" s="11" t="n">
        <v>5.93</v>
      </c>
    </row>
    <row r="7" customFormat="false" ht="15" hidden="false" customHeight="false" outlineLevel="0" collapsed="false">
      <c r="A7" s="4" t="s">
        <v>11</v>
      </c>
      <c r="B7" s="5" t="n">
        <v>682070</v>
      </c>
      <c r="C7" s="5" t="n">
        <v>1883604</v>
      </c>
      <c r="D7" s="5" t="n">
        <v>1213281</v>
      </c>
      <c r="E7" s="5" t="n">
        <v>2762</v>
      </c>
      <c r="F7" s="6" t="n">
        <v>2757.19</v>
      </c>
      <c r="G7" s="7" t="n">
        <v>4.81</v>
      </c>
    </row>
    <row r="8" customFormat="false" ht="15" hidden="false" customHeight="false" outlineLevel="0" collapsed="false">
      <c r="A8" s="8" t="s">
        <v>12</v>
      </c>
      <c r="B8" s="9" t="n">
        <v>665813</v>
      </c>
      <c r="C8" s="9" t="n">
        <v>1734325</v>
      </c>
      <c r="D8" s="9" t="n">
        <v>1116937</v>
      </c>
      <c r="E8" s="9" t="n">
        <v>2605</v>
      </c>
      <c r="F8" s="10" t="n">
        <v>2608.09</v>
      </c>
      <c r="G8" s="11" t="n">
        <v>-3.09</v>
      </c>
    </row>
    <row r="9" customFormat="false" ht="15" hidden="false" customHeight="false" outlineLevel="0" collapsed="false">
      <c r="A9" s="4" t="s">
        <v>13</v>
      </c>
      <c r="B9" s="5" t="n">
        <v>630833</v>
      </c>
      <c r="C9" s="5" t="n">
        <v>1571674</v>
      </c>
      <c r="D9" s="5" t="n">
        <v>1010279</v>
      </c>
      <c r="E9" s="5" t="n">
        <v>2491</v>
      </c>
      <c r="F9" s="6" t="n">
        <v>2517.79</v>
      </c>
      <c r="G9" s="7" t="n">
        <v>-26.79</v>
      </c>
    </row>
    <row r="10" customFormat="false" ht="15" hidden="false" customHeight="false" outlineLevel="0" collapsed="false">
      <c r="A10" s="8" t="s">
        <v>14</v>
      </c>
      <c r="B10" s="9" t="n">
        <v>656375</v>
      </c>
      <c r="C10" s="9" t="n">
        <v>1952914</v>
      </c>
      <c r="D10" s="9" t="n">
        <v>1257970</v>
      </c>
      <c r="E10" s="9" t="n">
        <v>2975</v>
      </c>
      <c r="F10" s="10" t="n">
        <v>2972.69</v>
      </c>
      <c r="G10" s="11" t="n">
        <v>2.31</v>
      </c>
    </row>
    <row r="11" customFormat="false" ht="15" hidden="false" customHeight="false" outlineLevel="0" collapsed="false">
      <c r="A11" s="4" t="s">
        <v>15</v>
      </c>
      <c r="B11" s="5" t="n">
        <v>650875</v>
      </c>
      <c r="C11" s="5" t="n">
        <v>1718215</v>
      </c>
      <c r="D11" s="5" t="n">
        <v>1104501</v>
      </c>
      <c r="E11" s="5" t="n">
        <v>2640</v>
      </c>
      <c r="F11" s="6" t="n">
        <v>2645.37</v>
      </c>
      <c r="G11" s="7" t="n">
        <v>-5.37</v>
      </c>
    </row>
    <row r="12" customFormat="false" ht="15" hidden="false" customHeight="false" outlineLevel="0" collapsed="false">
      <c r="A12" s="8" t="s">
        <v>16</v>
      </c>
      <c r="B12" s="9" t="n">
        <v>658954</v>
      </c>
      <c r="C12" s="9" t="n">
        <v>1626699</v>
      </c>
      <c r="D12" s="9" t="n">
        <v>1046467</v>
      </c>
      <c r="E12" s="9" t="n">
        <v>2469</v>
      </c>
      <c r="F12" s="10" t="n">
        <v>2476.87</v>
      </c>
      <c r="G12" s="11" t="n">
        <v>-7.87</v>
      </c>
    </row>
    <row r="13" customFormat="false" ht="15" hidden="false" customHeight="false" outlineLevel="0" collapsed="false">
      <c r="A13" s="4" t="s">
        <v>17</v>
      </c>
      <c r="B13" s="5" t="n">
        <v>671755</v>
      </c>
      <c r="C13" s="5" t="n">
        <v>1696239</v>
      </c>
      <c r="D13" s="5" t="n">
        <v>1091478</v>
      </c>
      <c r="E13" s="5" t="n">
        <v>2525</v>
      </c>
      <c r="F13" s="6" t="n">
        <v>2523.61</v>
      </c>
      <c r="G13" s="7" t="n">
        <v>1.39</v>
      </c>
    </row>
    <row r="14" customFormat="false" ht="15" hidden="false" customHeight="false" outlineLevel="0" collapsed="false">
      <c r="A14" s="8" t="s">
        <v>18</v>
      </c>
      <c r="B14" s="9" t="n">
        <v>664137</v>
      </c>
      <c r="C14" s="9" t="n">
        <v>1743444</v>
      </c>
      <c r="D14" s="9" t="n">
        <v>1122617</v>
      </c>
      <c r="E14" s="9" t="n">
        <v>2625</v>
      </c>
      <c r="F14" s="10" t="n">
        <v>2628.48</v>
      </c>
      <c r="G14" s="11" t="n">
        <v>-3.48</v>
      </c>
    </row>
    <row r="15" customFormat="false" ht="15" hidden="false" customHeight="false" outlineLevel="0" collapsed="false">
      <c r="A15" s="4" t="s">
        <v>19</v>
      </c>
      <c r="B15" s="5" t="n">
        <v>680647</v>
      </c>
      <c r="C15" s="5" t="n">
        <v>1884984</v>
      </c>
      <c r="D15" s="5" t="n">
        <v>1215065</v>
      </c>
      <c r="E15" s="5" t="n">
        <v>2769</v>
      </c>
      <c r="F15" s="6" t="n">
        <v>2767.54</v>
      </c>
      <c r="G15" s="7" t="n">
        <v>1.46</v>
      </c>
    </row>
    <row r="16" customFormat="false" ht="15" hidden="false" customHeight="false" outlineLevel="0" collapsed="false">
      <c r="A16" s="8" t="s">
        <v>20</v>
      </c>
      <c r="B16" s="9" t="n">
        <v>683640</v>
      </c>
      <c r="C16" s="9" t="n">
        <v>1926354</v>
      </c>
      <c r="D16" s="9" t="n">
        <v>1241796</v>
      </c>
      <c r="E16" s="9" t="n">
        <v>2818</v>
      </c>
      <c r="F16" s="10" t="n">
        <v>2815.6</v>
      </c>
      <c r="G16" s="11" t="n">
        <v>2.4</v>
      </c>
    </row>
    <row r="17" customFormat="false" ht="15" hidden="false" customHeight="false" outlineLevel="0" collapsed="false">
      <c r="A17" s="4" t="s">
        <v>21</v>
      </c>
      <c r="B17" s="5" t="n">
        <v>672753</v>
      </c>
      <c r="C17" s="5" t="n">
        <v>2012732</v>
      </c>
      <c r="D17" s="5" t="n">
        <v>1297914</v>
      </c>
      <c r="E17" s="5" t="n">
        <v>2992</v>
      </c>
      <c r="F17" s="6" t="n">
        <v>2992.07</v>
      </c>
      <c r="G17" s="7" t="n">
        <v>-0.07</v>
      </c>
    </row>
    <row r="18" customFormat="false" ht="15" hidden="false" customHeight="false" outlineLevel="0" collapsed="false">
      <c r="A18" s="8" t="s">
        <v>22</v>
      </c>
      <c r="B18" s="9" t="n">
        <v>693434</v>
      </c>
      <c r="C18" s="9" t="n">
        <v>2104447</v>
      </c>
      <c r="D18" s="9" t="n">
        <v>1357432</v>
      </c>
      <c r="E18" s="9" t="n">
        <v>3035</v>
      </c>
      <c r="F18" s="10" t="n">
        <v>3037.35</v>
      </c>
      <c r="G18" s="11" t="n">
        <v>-2.35</v>
      </c>
    </row>
    <row r="19" customFormat="false" ht="15" hidden="false" customHeight="false" outlineLevel="0" collapsed="false">
      <c r="A19" s="4" t="s">
        <v>23</v>
      </c>
      <c r="B19" s="5" t="n">
        <v>698624</v>
      </c>
      <c r="C19" s="5" t="n">
        <v>2138788</v>
      </c>
      <c r="D19" s="5" t="n">
        <v>1378945</v>
      </c>
      <c r="E19" s="5" t="n">
        <v>3061</v>
      </c>
      <c r="F19" s="6" t="n">
        <v>3063.78</v>
      </c>
      <c r="G19" s="7" t="n">
        <v>-2.78</v>
      </c>
    </row>
    <row r="20" customFormat="false" ht="15" hidden="false" customHeight="false" outlineLevel="0" collapsed="false">
      <c r="A20" s="8" t="s">
        <v>24</v>
      </c>
      <c r="B20" s="9" t="n">
        <v>672787</v>
      </c>
      <c r="C20" s="9" t="n">
        <v>2127271</v>
      </c>
      <c r="D20" s="9" t="n">
        <v>1372584</v>
      </c>
      <c r="E20" s="9" t="n">
        <v>3162</v>
      </c>
      <c r="F20" s="10" t="n">
        <v>3162.96</v>
      </c>
      <c r="G20" s="11" t="n">
        <v>-0.96</v>
      </c>
    </row>
    <row r="21" customFormat="false" ht="15" hidden="false" customHeight="false" outlineLevel="0" collapsed="false">
      <c r="A21" s="4" t="s">
        <v>25</v>
      </c>
      <c r="B21" s="5" t="n">
        <v>685468</v>
      </c>
      <c r="C21" s="5" t="n">
        <v>2228489</v>
      </c>
      <c r="D21" s="5" t="n">
        <v>1438794</v>
      </c>
      <c r="E21" s="5" t="n">
        <v>3251</v>
      </c>
      <c r="F21" s="6" t="n">
        <v>3258.79</v>
      </c>
      <c r="G21" s="7" t="n">
        <v>-7.79</v>
      </c>
    </row>
    <row r="22" customFormat="false" ht="15" hidden="false" customHeight="false" outlineLevel="0" collapsed="false">
      <c r="A22" s="8" t="s">
        <v>26</v>
      </c>
      <c r="B22" s="9" t="n">
        <v>690975</v>
      </c>
      <c r="C22" s="9" t="n">
        <v>2119615</v>
      </c>
      <c r="D22" s="9" t="n">
        <v>1367951</v>
      </c>
      <c r="E22" s="9" t="n">
        <v>3068</v>
      </c>
      <c r="F22" s="10" t="n">
        <v>3072.27</v>
      </c>
      <c r="G22" s="11" t="n">
        <v>-4.27</v>
      </c>
    </row>
    <row r="23" customFormat="false" ht="15" hidden="false" customHeight="false" outlineLevel="0" collapsed="false">
      <c r="A23" s="4" t="s">
        <v>27</v>
      </c>
      <c r="B23" s="5" t="n">
        <v>674404</v>
      </c>
      <c r="C23" s="5" t="n">
        <v>1944240</v>
      </c>
      <c r="D23" s="5" t="n">
        <v>1256854</v>
      </c>
      <c r="E23" s="5" t="n">
        <v>2883</v>
      </c>
      <c r="F23" s="6" t="n">
        <v>2890.75</v>
      </c>
      <c r="G23" s="7" t="n">
        <v>-7.75</v>
      </c>
    </row>
    <row r="24" customFormat="false" ht="15" hidden="false" customHeight="false" outlineLevel="0" collapsed="false">
      <c r="A24" s="8" t="s">
        <v>28</v>
      </c>
      <c r="B24" s="9" t="n">
        <v>692389</v>
      </c>
      <c r="C24" s="9" t="n">
        <v>2036641</v>
      </c>
      <c r="D24" s="9" t="n">
        <v>1314437</v>
      </c>
      <c r="E24" s="9" t="n">
        <v>2941</v>
      </c>
      <c r="F24" s="10" t="n">
        <v>2943.47</v>
      </c>
      <c r="G24" s="11" t="n">
        <v>-2.47</v>
      </c>
    </row>
    <row r="25" customFormat="false" ht="15" hidden="false" customHeight="false" outlineLevel="0" collapsed="false">
      <c r="A25" s="4" t="s">
        <v>29</v>
      </c>
      <c r="B25" s="5" t="n">
        <v>698702</v>
      </c>
      <c r="C25" s="5" t="n">
        <v>2140904</v>
      </c>
      <c r="D25" s="5" t="n">
        <v>1381662</v>
      </c>
      <c r="E25" s="5" t="n">
        <v>3064</v>
      </c>
      <c r="F25" s="6" t="n">
        <v>3069.66</v>
      </c>
      <c r="G25" s="7" t="n">
        <v>-5.66</v>
      </c>
    </row>
    <row r="26" customFormat="false" ht="15" hidden="false" customHeight="false" outlineLevel="0" collapsed="false">
      <c r="A26" s="8" t="s">
        <v>30</v>
      </c>
      <c r="B26" s="9" t="n">
        <v>673634</v>
      </c>
      <c r="C26" s="9" t="n">
        <v>2094995</v>
      </c>
      <c r="D26" s="9" t="n">
        <v>1351461</v>
      </c>
      <c r="E26" s="9" t="n">
        <v>3110</v>
      </c>
      <c r="F26" s="10" t="n">
        <v>3110.85</v>
      </c>
      <c r="G26" s="11" t="n">
        <v>-0.85</v>
      </c>
    </row>
    <row r="27" customFormat="false" ht="15" hidden="false" customHeight="false" outlineLevel="0" collapsed="false">
      <c r="A27" s="4" t="s">
        <v>31</v>
      </c>
      <c r="B27" s="5" t="n">
        <v>678544</v>
      </c>
      <c r="C27" s="5" t="n">
        <v>2197351</v>
      </c>
      <c r="D27" s="5" t="n">
        <v>1415117</v>
      </c>
      <c r="E27" s="5" t="n">
        <v>3238</v>
      </c>
      <c r="F27" s="6" t="n">
        <v>3235.04</v>
      </c>
      <c r="G27" s="7" t="n">
        <v>2.96</v>
      </c>
    </row>
    <row r="28" customFormat="false" ht="15" hidden="false" customHeight="false" outlineLevel="0" collapsed="false">
      <c r="A28" s="8" t="s">
        <v>32</v>
      </c>
      <c r="B28" s="9" t="n">
        <v>671820</v>
      </c>
      <c r="C28" s="9" t="n">
        <v>2257037</v>
      </c>
      <c r="D28" s="9" t="n">
        <v>1453137</v>
      </c>
      <c r="E28" s="9" t="n">
        <v>3360</v>
      </c>
      <c r="F28" s="10" t="n">
        <v>3351.73</v>
      </c>
      <c r="G28" s="11" t="n">
        <v>8.27</v>
      </c>
    </row>
    <row r="29" customFormat="false" ht="15" hidden="false" customHeight="false" outlineLevel="0" collapsed="false">
      <c r="A29" s="4" t="s">
        <v>33</v>
      </c>
      <c r="B29" s="5" t="n">
        <v>676310</v>
      </c>
      <c r="C29" s="5" t="n">
        <v>2291353</v>
      </c>
      <c r="D29" s="5" t="n">
        <v>1467052</v>
      </c>
      <c r="E29" s="5" t="n">
        <v>3434</v>
      </c>
      <c r="F29" s="6" t="n">
        <v>3363.84</v>
      </c>
      <c r="G29" s="7" t="n">
        <v>70.16</v>
      </c>
    </row>
    <row r="30" customFormat="false" ht="15" hidden="false" customHeight="false" outlineLevel="0" collapsed="false">
      <c r="A30" s="8" t="s">
        <v>34</v>
      </c>
      <c r="B30" s="9" t="n">
        <v>666781</v>
      </c>
      <c r="C30" s="9" t="n">
        <v>2314378</v>
      </c>
      <c r="D30" s="9" t="n">
        <v>1490015</v>
      </c>
      <c r="E30" s="9" t="n">
        <v>3471</v>
      </c>
      <c r="F30" s="10" t="n">
        <v>3458.39</v>
      </c>
      <c r="G30" s="11" t="n">
        <v>12.61</v>
      </c>
    </row>
    <row r="31" customFormat="false" ht="15" hidden="false" customHeight="false" outlineLevel="0" collapsed="false">
      <c r="A31" s="4" t="s">
        <v>35</v>
      </c>
      <c r="B31" s="5" t="n">
        <v>676034</v>
      </c>
      <c r="C31" s="5" t="n">
        <v>2187519</v>
      </c>
      <c r="D31" s="5" t="n">
        <v>1407220</v>
      </c>
      <c r="E31" s="5" t="n">
        <v>3236</v>
      </c>
      <c r="F31" s="6" t="n">
        <v>3228</v>
      </c>
      <c r="G31" s="7" t="n">
        <v>8</v>
      </c>
    </row>
    <row r="32" customFormat="false" ht="15" hidden="false" customHeight="false" outlineLevel="0" collapsed="false">
      <c r="A32" s="8" t="s">
        <v>36</v>
      </c>
      <c r="B32" s="9" t="n">
        <v>676111</v>
      </c>
      <c r="C32" s="9" t="n">
        <v>2375604</v>
      </c>
      <c r="D32" s="9" t="n">
        <v>1530971</v>
      </c>
      <c r="E32" s="9" t="n">
        <v>3514</v>
      </c>
      <c r="F32" s="10" t="n">
        <v>3511.13</v>
      </c>
      <c r="G32" s="11" t="n">
        <v>2.87</v>
      </c>
    </row>
    <row r="33" customFormat="false" ht="15" hidden="false" customHeight="false" outlineLevel="0" collapsed="false">
      <c r="A33" s="4" t="s">
        <v>37</v>
      </c>
      <c r="B33" s="5" t="n">
        <v>656602</v>
      </c>
      <c r="C33" s="5" t="n">
        <v>2353032</v>
      </c>
      <c r="D33" s="5" t="n">
        <v>1516470</v>
      </c>
      <c r="E33" s="5" t="n">
        <v>3584</v>
      </c>
      <c r="F33" s="6" t="n">
        <v>3563.81</v>
      </c>
      <c r="G33" s="7" t="n">
        <v>20.19</v>
      </c>
    </row>
    <row r="34" customFormat="false" ht="15" hidden="false" customHeight="false" outlineLevel="0" collapsed="false">
      <c r="A34" s="8" t="s">
        <v>38</v>
      </c>
      <c r="B34" s="9" t="n">
        <v>674928</v>
      </c>
      <c r="C34" s="9" t="n">
        <v>2511043</v>
      </c>
      <c r="D34" s="9" t="n">
        <v>1620259</v>
      </c>
      <c r="E34" s="9" t="n">
        <v>3720</v>
      </c>
      <c r="F34" s="10" t="n">
        <v>3720.86</v>
      </c>
      <c r="G34" s="11" t="n">
        <v>-0.86</v>
      </c>
    </row>
    <row r="35" customFormat="false" ht="15" hidden="false" customHeight="false" outlineLevel="0" collapsed="false">
      <c r="A35" s="4" t="s">
        <v>39</v>
      </c>
      <c r="B35" s="5" t="n">
        <v>677884</v>
      </c>
      <c r="C35" s="5" t="n">
        <v>2464831</v>
      </c>
      <c r="D35" s="5" t="n">
        <v>1588457</v>
      </c>
      <c r="E35" s="5" t="n">
        <v>3636</v>
      </c>
      <c r="F35" s="6" t="n">
        <v>3635</v>
      </c>
      <c r="G35" s="7" t="n">
        <v>1</v>
      </c>
    </row>
    <row r="36" customFormat="false" ht="15" hidden="false" customHeight="false" outlineLevel="0" collapsed="false">
      <c r="A36" s="8" t="s">
        <v>40</v>
      </c>
      <c r="B36" s="9" t="n">
        <v>687940</v>
      </c>
      <c r="C36" s="9" t="n">
        <v>2578519</v>
      </c>
      <c r="D36" s="9" t="n">
        <v>1661260</v>
      </c>
      <c r="E36" s="9" t="n">
        <v>3748</v>
      </c>
      <c r="F36" s="10" t="n">
        <v>3757.48</v>
      </c>
      <c r="G36" s="11" t="n">
        <v>-9.48</v>
      </c>
    </row>
    <row r="37" customFormat="false" ht="15" hidden="false" customHeight="false" outlineLevel="0" collapsed="false">
      <c r="A37" s="4" t="s">
        <v>41</v>
      </c>
      <c r="B37" s="5" t="n">
        <v>684545</v>
      </c>
      <c r="C37" s="5" t="n">
        <v>2599382</v>
      </c>
      <c r="D37" s="5" t="n">
        <v>1674981</v>
      </c>
      <c r="E37" s="5" t="n">
        <v>3797</v>
      </c>
      <c r="F37" s="6" t="n">
        <v>3803.86</v>
      </c>
      <c r="G37" s="7" t="n">
        <v>-6.86</v>
      </c>
    </row>
    <row r="38" customFormat="false" ht="15" hidden="false" customHeight="false" outlineLevel="0" collapsed="false">
      <c r="A38" s="8" t="s">
        <v>42</v>
      </c>
      <c r="B38" s="9" t="n">
        <v>671679</v>
      </c>
      <c r="C38" s="9" t="n">
        <v>2603654</v>
      </c>
      <c r="D38" s="9" t="n">
        <v>1677368</v>
      </c>
      <c r="E38" s="9" t="n">
        <v>3876</v>
      </c>
      <c r="F38" s="10" t="n">
        <v>3865.98</v>
      </c>
      <c r="G38" s="11" t="n">
        <v>10.02</v>
      </c>
    </row>
    <row r="39" customFormat="false" ht="15" hidden="false" customHeight="false" outlineLevel="0" collapsed="false">
      <c r="A39" s="4" t="s">
        <v>43</v>
      </c>
      <c r="B39" s="5" t="n">
        <v>679239</v>
      </c>
      <c r="C39" s="5" t="n">
        <v>2848560</v>
      </c>
      <c r="D39" s="5" t="n">
        <v>1834831</v>
      </c>
      <c r="E39" s="5" t="n">
        <v>4194</v>
      </c>
      <c r="F39" s="6" t="n">
        <v>4193.37</v>
      </c>
      <c r="G39" s="7" t="n">
        <v>0.63</v>
      </c>
    </row>
    <row r="40" customFormat="false" ht="15" hidden="false" customHeight="false" outlineLevel="0" collapsed="false">
      <c r="A40" s="8" t="s">
        <v>44</v>
      </c>
      <c r="B40" s="9" t="n">
        <v>681559</v>
      </c>
      <c r="C40" s="9" t="n">
        <v>2741404</v>
      </c>
      <c r="D40" s="9" t="n">
        <v>1767407</v>
      </c>
      <c r="E40" s="9" t="n">
        <v>4022</v>
      </c>
      <c r="F40" s="10" t="n">
        <v>4028.72</v>
      </c>
      <c r="G40" s="11" t="n">
        <v>-6.72</v>
      </c>
    </row>
    <row r="41" customFormat="false" ht="15" hidden="false" customHeight="false" outlineLevel="0" collapsed="false">
      <c r="A41" s="4" t="s">
        <v>45</v>
      </c>
      <c r="B41" s="5" t="n">
        <v>688770</v>
      </c>
      <c r="C41" s="5" t="n">
        <v>2739606</v>
      </c>
      <c r="D41" s="5" t="n">
        <v>1766115</v>
      </c>
      <c r="E41" s="5" t="n">
        <v>3978</v>
      </c>
      <c r="F41" s="6" t="n">
        <v>3994.01</v>
      </c>
      <c r="G41" s="7" t="n">
        <v>-16.01</v>
      </c>
    </row>
    <row r="42" customFormat="false" ht="15" hidden="false" customHeight="false" outlineLevel="0" collapsed="false">
      <c r="A42" s="8" t="s">
        <v>46</v>
      </c>
      <c r="B42" s="9" t="n">
        <v>685548</v>
      </c>
      <c r="C42" s="9" t="n">
        <v>2570513</v>
      </c>
      <c r="D42" s="9" t="n">
        <v>1656302</v>
      </c>
      <c r="E42" s="9" t="n">
        <v>3750</v>
      </c>
      <c r="F42" s="10" t="n">
        <v>3756.66</v>
      </c>
      <c r="G42" s="11" t="n">
        <v>-6.66</v>
      </c>
    </row>
    <row r="43" customFormat="false" ht="15" hidden="false" customHeight="false" outlineLevel="0" collapsed="false">
      <c r="A43" s="4" t="s">
        <v>47</v>
      </c>
      <c r="B43" s="5" t="n">
        <v>700306</v>
      </c>
      <c r="C43" s="5" t="n">
        <v>2639916</v>
      </c>
      <c r="D43" s="5" t="n">
        <v>1700231</v>
      </c>
      <c r="E43" s="5" t="n">
        <v>3770</v>
      </c>
      <c r="F43" s="6" t="n">
        <v>3792.3</v>
      </c>
      <c r="G43" s="7" t="n">
        <v>-22.3</v>
      </c>
    </row>
    <row r="44" customFormat="false" ht="15" hidden="false" customHeight="false" outlineLevel="0" collapsed="false">
      <c r="A44" s="8" t="s">
        <v>48</v>
      </c>
      <c r="B44" s="9" t="n">
        <v>684416</v>
      </c>
      <c r="C44" s="9" t="n">
        <v>2912203</v>
      </c>
      <c r="D44" s="9" t="n">
        <v>1876922</v>
      </c>
      <c r="E44" s="9" t="n">
        <v>4255</v>
      </c>
      <c r="F44" s="10" t="n">
        <v>4266.99</v>
      </c>
      <c r="G44" s="11" t="n">
        <v>-11.99</v>
      </c>
    </row>
    <row r="45" customFormat="false" ht="15" hidden="false" customHeight="false" outlineLevel="0" collapsed="false">
      <c r="A45" s="12" t="s">
        <v>49</v>
      </c>
      <c r="B45" s="13" t="n">
        <f aca="false">AVERAGE(B5:B44)</f>
        <v>678623.675</v>
      </c>
      <c r="C45" s="13" t="n">
        <f aca="false">AVERAGE(C5:C44)</f>
        <v>2198424.575</v>
      </c>
      <c r="D45" s="13" t="n">
        <f aca="false">AVERAGE(D5:D44)</f>
        <v>1416594.825</v>
      </c>
      <c r="E45" s="13" t="n">
        <f aca="false">AVERAGE(E5:E44)</f>
        <v>3238.075</v>
      </c>
      <c r="F45" s="13" t="n">
        <f aca="false">AVERAGE(F5:F44)</f>
        <v>3238.07525</v>
      </c>
      <c r="G45" s="13" t="n">
        <f aca="false">AVERAGE(G5:G44)</f>
        <v>-0.000250000000000157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7" min="6" style="0" width="16"/>
  </cols>
  <sheetData>
    <row r="1" customFormat="false" ht="27.75" hidden="false" customHeight="true" outlineLevel="0" collapsed="false">
      <c r="A1" s="14" t="s">
        <v>50</v>
      </c>
      <c r="B1" s="14"/>
      <c r="C1" s="14"/>
      <c r="D1" s="14"/>
      <c r="E1" s="14"/>
      <c r="F1" s="14"/>
      <c r="G1" s="14"/>
      <c r="H1" s="14"/>
    </row>
    <row r="2" customFormat="false" ht="21.75" hidden="false" customHeight="true" outlineLevel="0" collapsed="false">
      <c r="A2" s="15" t="s">
        <v>51</v>
      </c>
      <c r="B2" s="15"/>
      <c r="C2" s="15"/>
      <c r="D2" s="15"/>
      <c r="E2" s="15"/>
      <c r="F2" s="15"/>
      <c r="G2" s="15"/>
      <c r="H2" s="15"/>
    </row>
    <row r="4" customFormat="false" ht="21.75" hidden="false" customHeight="true" outlineLevel="0" collapsed="false">
      <c r="A4" s="16" t="s">
        <v>52</v>
      </c>
      <c r="B4" s="16"/>
      <c r="C4" s="16"/>
      <c r="D4" s="16"/>
    </row>
    <row r="5" customFormat="false" ht="15" hidden="false" customHeight="false" outlineLevel="0" collapsed="false">
      <c r="A5" s="17" t="s">
        <v>53</v>
      </c>
      <c r="B5" s="18" t="n">
        <v>0.999160491962735</v>
      </c>
      <c r="C5" s="19" t="s">
        <v>54</v>
      </c>
      <c r="D5" s="19"/>
    </row>
    <row r="6" customFormat="false" ht="15" hidden="false" customHeight="false" outlineLevel="0" collapsed="false">
      <c r="A6" s="20" t="s">
        <v>55</v>
      </c>
      <c r="B6" s="21" t="n">
        <v>0.99911511314991</v>
      </c>
      <c r="C6" s="22" t="s">
        <v>56</v>
      </c>
      <c r="D6" s="22"/>
    </row>
    <row r="7" customFormat="false" ht="15" hidden="false" customHeight="false" outlineLevel="0" collapsed="false">
      <c r="A7" s="17" t="s">
        <v>57</v>
      </c>
      <c r="B7" s="23" t="n">
        <v>14.7186420784218</v>
      </c>
      <c r="C7" s="19" t="s">
        <v>58</v>
      </c>
      <c r="D7" s="19"/>
    </row>
    <row r="8" customFormat="false" ht="15" hidden="false" customHeight="false" outlineLevel="0" collapsed="false">
      <c r="A8" s="20" t="s">
        <v>59</v>
      </c>
      <c r="B8" s="24" t="n">
        <v>22018.2157654248</v>
      </c>
      <c r="C8" s="22" t="s">
        <v>60</v>
      </c>
      <c r="D8" s="22"/>
    </row>
    <row r="9" customFormat="false" ht="15" hidden="false" customHeight="false" outlineLevel="0" collapsed="false">
      <c r="A9" s="17" t="s">
        <v>61</v>
      </c>
      <c r="B9" s="25" t="n">
        <v>1.2429678031647E-057</v>
      </c>
      <c r="C9" s="19" t="s">
        <v>62</v>
      </c>
      <c r="D9" s="19"/>
    </row>
    <row r="10" customFormat="false" ht="15" hidden="false" customHeight="false" outlineLevel="0" collapsed="false">
      <c r="A10" s="20" t="s">
        <v>63</v>
      </c>
      <c r="B10" s="26" t="n">
        <v>40</v>
      </c>
      <c r="C10" s="22" t="s">
        <v>64</v>
      </c>
      <c r="D10" s="22"/>
    </row>
    <row r="11" customFormat="false" ht="15" hidden="false" customHeight="false" outlineLevel="0" collapsed="false">
      <c r="A11" s="17" t="s">
        <v>65</v>
      </c>
      <c r="B11" s="27" t="n">
        <v>2</v>
      </c>
      <c r="C11" s="19" t="s">
        <v>66</v>
      </c>
      <c r="D11" s="19"/>
    </row>
    <row r="12" customFormat="false" ht="15" hidden="false" customHeight="false" outlineLevel="0" collapsed="false">
      <c r="A12" s="20" t="s">
        <v>67</v>
      </c>
      <c r="B12" s="26" t="n">
        <v>37</v>
      </c>
      <c r="C12" s="22" t="s">
        <v>68</v>
      </c>
      <c r="D12" s="22"/>
    </row>
    <row r="15" customFormat="false" ht="21.75" hidden="false" customHeight="true" outlineLevel="0" collapsed="false">
      <c r="A15" s="28" t="s">
        <v>69</v>
      </c>
      <c r="B15" s="28"/>
      <c r="C15" s="28"/>
      <c r="D15" s="28"/>
      <c r="E15" s="28"/>
      <c r="F15" s="28"/>
    </row>
    <row r="16" customFormat="false" ht="15" hidden="false" customHeight="false" outlineLevel="0" collapsed="false">
      <c r="A16" s="29" t="s">
        <v>70</v>
      </c>
      <c r="B16" s="29" t="s">
        <v>71</v>
      </c>
      <c r="C16" s="29" t="s">
        <v>72</v>
      </c>
      <c r="D16" s="29" t="s">
        <v>73</v>
      </c>
      <c r="E16" s="29" t="s">
        <v>74</v>
      </c>
      <c r="F16" s="29" t="s">
        <v>75</v>
      </c>
    </row>
    <row r="17" customFormat="false" ht="15" hidden="false" customHeight="false" outlineLevel="0" collapsed="false">
      <c r="A17" s="30" t="s">
        <v>76</v>
      </c>
      <c r="B17" s="31" t="n">
        <v>9539983.15328857</v>
      </c>
      <c r="C17" s="32" t="n">
        <v>2</v>
      </c>
      <c r="D17" s="31" t="n">
        <v>4769991.57664429</v>
      </c>
      <c r="E17" s="33" t="n">
        <v>22018.2157654248</v>
      </c>
      <c r="F17" s="34" t="n">
        <v>1.2429678031647E-057</v>
      </c>
    </row>
    <row r="18" customFormat="false" ht="15" hidden="false" customHeight="false" outlineLevel="0" collapsed="false">
      <c r="A18" s="35" t="s">
        <v>77</v>
      </c>
      <c r="B18" s="36" t="n">
        <v>8015.62171140952</v>
      </c>
      <c r="C18" s="37" t="n">
        <v>37</v>
      </c>
      <c r="D18" s="36" t="n">
        <v>216.63842463269</v>
      </c>
      <c r="E18" s="38"/>
      <c r="F18" s="4"/>
    </row>
    <row r="19" customFormat="false" ht="15" hidden="false" customHeight="false" outlineLevel="0" collapsed="false">
      <c r="A19" s="39" t="s">
        <v>78</v>
      </c>
      <c r="B19" s="40" t="n">
        <v>9547998.775</v>
      </c>
      <c r="C19" s="41" t="n">
        <v>39</v>
      </c>
      <c r="D19" s="42"/>
      <c r="E19" s="43"/>
      <c r="F19" s="42"/>
    </row>
    <row r="22" customFormat="false" ht="21.75" hidden="false" customHeight="true" outlineLevel="0" collapsed="false">
      <c r="A22" s="44" t="s">
        <v>79</v>
      </c>
      <c r="B22" s="44"/>
      <c r="C22" s="44"/>
      <c r="D22" s="44"/>
      <c r="E22" s="44"/>
      <c r="F22" s="44"/>
      <c r="G22" s="44"/>
    </row>
    <row r="23" customFormat="false" ht="15" hidden="false" customHeight="false" outlineLevel="0" collapsed="false">
      <c r="A23" s="12" t="s">
        <v>80</v>
      </c>
      <c r="B23" s="12" t="s">
        <v>81</v>
      </c>
      <c r="C23" s="12" t="s">
        <v>82</v>
      </c>
      <c r="D23" s="12" t="s">
        <v>83</v>
      </c>
      <c r="E23" s="12" t="s">
        <v>75</v>
      </c>
      <c r="F23" s="12" t="s">
        <v>84</v>
      </c>
      <c r="G23" s="12" t="s">
        <v>85</v>
      </c>
    </row>
    <row r="24" customFormat="false" ht="15" hidden="false" customHeight="false" outlineLevel="0" collapsed="false">
      <c r="A24" s="45" t="s">
        <v>86</v>
      </c>
      <c r="B24" s="46" t="n">
        <v>2981.14605591645</v>
      </c>
      <c r="C24" s="47" t="n">
        <v>102.647405694776</v>
      </c>
      <c r="D24" s="48" t="n">
        <v>29.0425854968116</v>
      </c>
      <c r="E24" s="49" t="n">
        <v>4.55236091463673E-027</v>
      </c>
      <c r="F24" s="47" t="n">
        <v>2773.1626561482</v>
      </c>
      <c r="G24" s="47" t="n">
        <v>3189.1294556847</v>
      </c>
    </row>
    <row r="25" customFormat="false" ht="15" hidden="false" customHeight="false" outlineLevel="0" collapsed="false">
      <c r="A25" s="50" t="s">
        <v>87</v>
      </c>
      <c r="B25" s="51" t="n">
        <v>-0.00440289424523797</v>
      </c>
      <c r="C25" s="52" t="n">
        <v>0.000158035446753484</v>
      </c>
      <c r="D25" s="53" t="n">
        <v>-27.8601689411234</v>
      </c>
      <c r="E25" s="54" t="n">
        <v>1.98461801817601E-026</v>
      </c>
      <c r="F25" s="52" t="n">
        <v>-0.00472310447634132</v>
      </c>
      <c r="G25" s="52" t="n">
        <v>-0.00408268401413463</v>
      </c>
    </row>
    <row r="26" customFormat="false" ht="15" hidden="false" customHeight="false" outlineLevel="0" collapsed="false">
      <c r="A26" s="45" t="s">
        <v>88</v>
      </c>
      <c r="B26" s="46" t="n">
        <v>0.00229058948978109</v>
      </c>
      <c r="C26" s="47" t="n">
        <v>1.1220879540582E-005</v>
      </c>
      <c r="D26" s="48" t="n">
        <v>204.136358606903</v>
      </c>
      <c r="E26" s="49" t="n">
        <v>4.49402867114349E-058</v>
      </c>
      <c r="F26" s="47" t="n">
        <v>0.00226785382822741</v>
      </c>
      <c r="G26" s="47" t="n">
        <v>0.00231332515133478</v>
      </c>
    </row>
    <row r="29" customFormat="false" ht="21.75" hidden="false" customHeight="true" outlineLevel="0" collapsed="false">
      <c r="A29" s="55" t="s">
        <v>89</v>
      </c>
      <c r="B29" s="55"/>
      <c r="C29" s="55"/>
      <c r="D29" s="55"/>
      <c r="E29" s="55"/>
    </row>
    <row r="30" customFormat="false" ht="15" hidden="false" customHeight="false" outlineLevel="0" collapsed="false">
      <c r="A30" s="56" t="s">
        <v>90</v>
      </c>
      <c r="B30" s="56" t="s">
        <v>91</v>
      </c>
      <c r="C30" s="56" t="s">
        <v>92</v>
      </c>
      <c r="D30" s="56" t="s">
        <v>93</v>
      </c>
      <c r="E30" s="56" t="s">
        <v>94</v>
      </c>
    </row>
    <row r="31" customFormat="false" ht="15" hidden="false" customHeight="false" outlineLevel="0" collapsed="false">
      <c r="A31" s="20" t="s">
        <v>95</v>
      </c>
      <c r="B31" s="20" t="s">
        <v>96</v>
      </c>
      <c r="C31" s="8" t="s">
        <v>97</v>
      </c>
      <c r="D31" s="8" t="s">
        <v>98</v>
      </c>
      <c r="E31" s="57" t="s">
        <v>99</v>
      </c>
    </row>
    <row r="32" customFormat="false" ht="15" hidden="false" customHeight="false" outlineLevel="0" collapsed="false">
      <c r="A32" s="58" t="s">
        <v>95</v>
      </c>
      <c r="B32" s="58" t="s">
        <v>100</v>
      </c>
      <c r="C32" s="59" t="s">
        <v>101</v>
      </c>
      <c r="D32" s="59" t="s">
        <v>98</v>
      </c>
      <c r="E32" s="60" t="s">
        <v>102</v>
      </c>
    </row>
    <row r="33" customFormat="false" ht="15" hidden="false" customHeight="false" outlineLevel="0" collapsed="false">
      <c r="A33" s="20" t="s">
        <v>103</v>
      </c>
      <c r="B33" s="20" t="s">
        <v>104</v>
      </c>
      <c r="C33" s="8" t="s">
        <v>105</v>
      </c>
      <c r="D33" s="8" t="s">
        <v>106</v>
      </c>
      <c r="E33" s="61" t="s">
        <v>107</v>
      </c>
    </row>
    <row r="34" customFormat="false" ht="15" hidden="false" customHeight="false" outlineLevel="0" collapsed="false">
      <c r="A34" s="58" t="s">
        <v>103</v>
      </c>
      <c r="B34" s="58" t="s">
        <v>108</v>
      </c>
      <c r="C34" s="59" t="s">
        <v>105</v>
      </c>
      <c r="D34" s="59" t="s">
        <v>106</v>
      </c>
      <c r="E34" s="62" t="s">
        <v>107</v>
      </c>
    </row>
    <row r="35" customFormat="false" ht="15" hidden="false" customHeight="false" outlineLevel="0" collapsed="false">
      <c r="A35" s="20" t="s">
        <v>103</v>
      </c>
      <c r="B35" s="20" t="s">
        <v>109</v>
      </c>
      <c r="C35" s="8" t="s">
        <v>110</v>
      </c>
      <c r="D35" s="8" t="s">
        <v>111</v>
      </c>
      <c r="E35" s="57" t="s">
        <v>112</v>
      </c>
    </row>
    <row r="36" customFormat="false" ht="15" hidden="false" customHeight="false" outlineLevel="0" collapsed="false">
      <c r="A36" s="58" t="s">
        <v>113</v>
      </c>
      <c r="B36" s="58" t="s">
        <v>114</v>
      </c>
      <c r="C36" s="59" t="s">
        <v>115</v>
      </c>
      <c r="D36" s="59" t="s">
        <v>116</v>
      </c>
      <c r="E36" s="60" t="s">
        <v>117</v>
      </c>
    </row>
    <row r="37" customFormat="false" ht="15" hidden="false" customHeight="false" outlineLevel="0" collapsed="false">
      <c r="A37" s="20" t="s">
        <v>118</v>
      </c>
      <c r="B37" s="20" t="s">
        <v>119</v>
      </c>
      <c r="C37" s="8" t="s">
        <v>120</v>
      </c>
      <c r="D37" s="8" t="s">
        <v>115</v>
      </c>
      <c r="E37" s="61" t="s">
        <v>115</v>
      </c>
    </row>
    <row r="38" customFormat="false" ht="15" hidden="false" customHeight="false" outlineLevel="0" collapsed="false">
      <c r="A38" s="58" t="s">
        <v>118</v>
      </c>
      <c r="B38" s="58" t="s">
        <v>121</v>
      </c>
      <c r="C38" s="59" t="s">
        <v>122</v>
      </c>
      <c r="D38" s="59" t="s">
        <v>123</v>
      </c>
      <c r="E38" s="62" t="s">
        <v>124</v>
      </c>
    </row>
  </sheetData>
  <mergeCells count="14">
    <mergeCell ref="A1:H1"/>
    <mergeCell ref="A2:H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5:F15"/>
    <mergeCell ref="A22:G22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6" min="3" style="0" width="16"/>
    <col collapsed="false" customWidth="true" hidden="false" outlineLevel="0" max="7" min="7" style="0" width="18"/>
  </cols>
  <sheetData>
    <row r="1" customFormat="false" ht="24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2</v>
      </c>
      <c r="B3" s="3" t="s">
        <v>126</v>
      </c>
      <c r="C3" s="3" t="s">
        <v>127</v>
      </c>
      <c r="D3" s="3" t="s">
        <v>77</v>
      </c>
      <c r="E3" s="3" t="s">
        <v>128</v>
      </c>
      <c r="F3" s="29" t="s">
        <v>129</v>
      </c>
      <c r="G3" s="29" t="s">
        <v>130</v>
      </c>
    </row>
    <row r="4" customFormat="false" ht="15" hidden="false" customHeight="false" outlineLevel="0" collapsed="false">
      <c r="A4" s="37" t="n">
        <v>1980</v>
      </c>
      <c r="B4" s="63" t="n">
        <v>2852</v>
      </c>
      <c r="C4" s="36" t="n">
        <v>2844.59</v>
      </c>
      <c r="D4" s="64" t="n">
        <v>7.41</v>
      </c>
      <c r="E4" s="48" t="n">
        <v>0.5236</v>
      </c>
      <c r="F4" s="63" t="n">
        <v>716873</v>
      </c>
      <c r="G4" s="63" t="n">
        <v>1318332</v>
      </c>
    </row>
    <row r="5" customFormat="false" ht="15" hidden="false" customHeight="false" outlineLevel="0" collapsed="false">
      <c r="A5" s="65" t="n">
        <v>1981</v>
      </c>
      <c r="B5" s="66" t="n">
        <v>2842</v>
      </c>
      <c r="C5" s="67" t="n">
        <v>2836.07</v>
      </c>
      <c r="D5" s="68" t="n">
        <v>5.93</v>
      </c>
      <c r="E5" s="53" t="n">
        <v>0.4186</v>
      </c>
      <c r="F5" s="66" t="n">
        <v>710789</v>
      </c>
      <c r="G5" s="66" t="n">
        <v>1302921</v>
      </c>
    </row>
    <row r="6" customFormat="false" ht="15" hidden="false" customHeight="false" outlineLevel="0" collapsed="false">
      <c r="A6" s="37" t="n">
        <v>1982</v>
      </c>
      <c r="B6" s="63" t="n">
        <v>2762</v>
      </c>
      <c r="C6" s="36" t="n">
        <v>2757.19</v>
      </c>
      <c r="D6" s="64" t="n">
        <v>4.81</v>
      </c>
      <c r="E6" s="48" t="n">
        <v>0.3396</v>
      </c>
      <c r="F6" s="63" t="n">
        <v>682070</v>
      </c>
      <c r="G6" s="63" t="n">
        <v>1213281</v>
      </c>
    </row>
    <row r="7" customFormat="false" ht="15" hidden="false" customHeight="false" outlineLevel="0" collapsed="false">
      <c r="A7" s="65" t="n">
        <v>1983</v>
      </c>
      <c r="B7" s="66" t="n">
        <v>2605</v>
      </c>
      <c r="C7" s="67" t="n">
        <v>2608.09</v>
      </c>
      <c r="D7" s="68" t="n">
        <v>-3.09</v>
      </c>
      <c r="E7" s="53" t="n">
        <v>-0.218</v>
      </c>
      <c r="F7" s="66" t="n">
        <v>665813</v>
      </c>
      <c r="G7" s="66" t="n">
        <v>1116937</v>
      </c>
    </row>
    <row r="8" customFormat="false" ht="15" hidden="false" customHeight="false" outlineLevel="0" collapsed="false">
      <c r="A8" s="37" t="n">
        <v>1984</v>
      </c>
      <c r="B8" s="63" t="n">
        <v>2491</v>
      </c>
      <c r="C8" s="36" t="n">
        <v>2517.79</v>
      </c>
      <c r="D8" s="64" t="n">
        <v>-26.79</v>
      </c>
      <c r="E8" s="48" t="n">
        <v>-1.8925</v>
      </c>
      <c r="F8" s="63" t="n">
        <v>630833</v>
      </c>
      <c r="G8" s="63" t="n">
        <v>1010279</v>
      </c>
    </row>
    <row r="9" customFormat="false" ht="15" hidden="false" customHeight="false" outlineLevel="0" collapsed="false">
      <c r="A9" s="65" t="n">
        <v>1985</v>
      </c>
      <c r="B9" s="66" t="n">
        <v>2975</v>
      </c>
      <c r="C9" s="67" t="n">
        <v>2972.69</v>
      </c>
      <c r="D9" s="68" t="n">
        <v>2.31</v>
      </c>
      <c r="E9" s="53" t="n">
        <v>0.1632</v>
      </c>
      <c r="F9" s="66" t="n">
        <v>656375</v>
      </c>
      <c r="G9" s="66" t="n">
        <v>1257970</v>
      </c>
    </row>
    <row r="10" customFormat="false" ht="15" hidden="false" customHeight="false" outlineLevel="0" collapsed="false">
      <c r="A10" s="37" t="n">
        <v>1986</v>
      </c>
      <c r="B10" s="63" t="n">
        <v>2640</v>
      </c>
      <c r="C10" s="36" t="n">
        <v>2645.37</v>
      </c>
      <c r="D10" s="64" t="n">
        <v>-5.37</v>
      </c>
      <c r="E10" s="48" t="n">
        <v>-0.3794</v>
      </c>
      <c r="F10" s="63" t="n">
        <v>650875</v>
      </c>
      <c r="G10" s="63" t="n">
        <v>1104501</v>
      </c>
    </row>
    <row r="11" customFormat="false" ht="15" hidden="false" customHeight="false" outlineLevel="0" collapsed="false">
      <c r="A11" s="65" t="n">
        <v>1987</v>
      </c>
      <c r="B11" s="66" t="n">
        <v>2469</v>
      </c>
      <c r="C11" s="67" t="n">
        <v>2476.87</v>
      </c>
      <c r="D11" s="68" t="n">
        <v>-7.87</v>
      </c>
      <c r="E11" s="53" t="n">
        <v>-0.5558</v>
      </c>
      <c r="F11" s="66" t="n">
        <v>658954</v>
      </c>
      <c r="G11" s="66" t="n">
        <v>1046467</v>
      </c>
    </row>
    <row r="12" customFormat="false" ht="15" hidden="false" customHeight="false" outlineLevel="0" collapsed="false">
      <c r="A12" s="37" t="n">
        <v>1988</v>
      </c>
      <c r="B12" s="63" t="n">
        <v>2525</v>
      </c>
      <c r="C12" s="36" t="n">
        <v>2523.61</v>
      </c>
      <c r="D12" s="64" t="n">
        <v>1.39</v>
      </c>
      <c r="E12" s="48" t="n">
        <v>0.0983</v>
      </c>
      <c r="F12" s="63" t="n">
        <v>671755</v>
      </c>
      <c r="G12" s="63" t="n">
        <v>1091478</v>
      </c>
    </row>
    <row r="13" customFormat="false" ht="15" hidden="false" customHeight="false" outlineLevel="0" collapsed="false">
      <c r="A13" s="65" t="n">
        <v>1989</v>
      </c>
      <c r="B13" s="66" t="n">
        <v>2625</v>
      </c>
      <c r="C13" s="67" t="n">
        <v>2628.48</v>
      </c>
      <c r="D13" s="68" t="n">
        <v>-3.48</v>
      </c>
      <c r="E13" s="53" t="n">
        <v>-0.2455</v>
      </c>
      <c r="F13" s="66" t="n">
        <v>664137</v>
      </c>
      <c r="G13" s="66" t="n">
        <v>1122617</v>
      </c>
    </row>
    <row r="14" customFormat="false" ht="15" hidden="false" customHeight="false" outlineLevel="0" collapsed="false">
      <c r="A14" s="37" t="n">
        <v>1990</v>
      </c>
      <c r="B14" s="63" t="n">
        <v>2769</v>
      </c>
      <c r="C14" s="36" t="n">
        <v>2767.54</v>
      </c>
      <c r="D14" s="64" t="n">
        <v>1.46</v>
      </c>
      <c r="E14" s="48" t="n">
        <v>0.1028</v>
      </c>
      <c r="F14" s="63" t="n">
        <v>680647</v>
      </c>
      <c r="G14" s="63" t="n">
        <v>1215065</v>
      </c>
    </row>
    <row r="15" customFormat="false" ht="15" hidden="false" customHeight="false" outlineLevel="0" collapsed="false">
      <c r="A15" s="65" t="n">
        <v>1991</v>
      </c>
      <c r="B15" s="66" t="n">
        <v>2818</v>
      </c>
      <c r="C15" s="67" t="n">
        <v>2815.6</v>
      </c>
      <c r="D15" s="68" t="n">
        <v>2.4</v>
      </c>
      <c r="E15" s="53" t="n">
        <v>0.1698</v>
      </c>
      <c r="F15" s="66" t="n">
        <v>683640</v>
      </c>
      <c r="G15" s="66" t="n">
        <v>1241796</v>
      </c>
    </row>
    <row r="16" customFormat="false" ht="15" hidden="false" customHeight="false" outlineLevel="0" collapsed="false">
      <c r="A16" s="37" t="n">
        <v>1992</v>
      </c>
      <c r="B16" s="63" t="n">
        <v>2992</v>
      </c>
      <c r="C16" s="36" t="n">
        <v>2992.07</v>
      </c>
      <c r="D16" s="64" t="n">
        <v>-0.07</v>
      </c>
      <c r="E16" s="48" t="n">
        <v>-0.0052</v>
      </c>
      <c r="F16" s="63" t="n">
        <v>672753</v>
      </c>
      <c r="G16" s="63" t="n">
        <v>1297914</v>
      </c>
    </row>
    <row r="17" customFormat="false" ht="15" hidden="false" customHeight="false" outlineLevel="0" collapsed="false">
      <c r="A17" s="65" t="n">
        <v>1993</v>
      </c>
      <c r="B17" s="66" t="n">
        <v>3035</v>
      </c>
      <c r="C17" s="67" t="n">
        <v>3037.35</v>
      </c>
      <c r="D17" s="68" t="n">
        <v>-2.35</v>
      </c>
      <c r="E17" s="53" t="n">
        <v>-0.1659</v>
      </c>
      <c r="F17" s="66" t="n">
        <v>693434</v>
      </c>
      <c r="G17" s="66" t="n">
        <v>1357432</v>
      </c>
    </row>
    <row r="18" customFormat="false" ht="15" hidden="false" customHeight="false" outlineLevel="0" collapsed="false">
      <c r="A18" s="37" t="n">
        <v>1994</v>
      </c>
      <c r="B18" s="63" t="n">
        <v>3061</v>
      </c>
      <c r="C18" s="36" t="n">
        <v>3063.78</v>
      </c>
      <c r="D18" s="64" t="n">
        <v>-2.78</v>
      </c>
      <c r="E18" s="48" t="n">
        <v>-0.1961</v>
      </c>
      <c r="F18" s="63" t="n">
        <v>698624</v>
      </c>
      <c r="G18" s="63" t="n">
        <v>1378945</v>
      </c>
    </row>
    <row r="19" customFormat="false" ht="15" hidden="false" customHeight="false" outlineLevel="0" collapsed="false">
      <c r="A19" s="65" t="n">
        <v>1995</v>
      </c>
      <c r="B19" s="66" t="n">
        <v>3162</v>
      </c>
      <c r="C19" s="67" t="n">
        <v>3162.96</v>
      </c>
      <c r="D19" s="68" t="n">
        <v>-0.96</v>
      </c>
      <c r="E19" s="53" t="n">
        <v>-0.068</v>
      </c>
      <c r="F19" s="66" t="n">
        <v>672787</v>
      </c>
      <c r="G19" s="66" t="n">
        <v>1372584</v>
      </c>
    </row>
    <row r="20" customFormat="false" ht="15" hidden="false" customHeight="false" outlineLevel="0" collapsed="false">
      <c r="A20" s="37" t="n">
        <v>1996</v>
      </c>
      <c r="B20" s="63" t="n">
        <v>3251</v>
      </c>
      <c r="C20" s="36" t="n">
        <v>3258.79</v>
      </c>
      <c r="D20" s="64" t="n">
        <v>-7.79</v>
      </c>
      <c r="E20" s="48" t="n">
        <v>-0.5503</v>
      </c>
      <c r="F20" s="63" t="n">
        <v>685468</v>
      </c>
      <c r="G20" s="63" t="n">
        <v>1438794</v>
      </c>
    </row>
    <row r="21" customFormat="false" ht="15" hidden="false" customHeight="false" outlineLevel="0" collapsed="false">
      <c r="A21" s="65" t="n">
        <v>1997</v>
      </c>
      <c r="B21" s="66" t="n">
        <v>3068</v>
      </c>
      <c r="C21" s="67" t="n">
        <v>3072.27</v>
      </c>
      <c r="D21" s="68" t="n">
        <v>-4.27</v>
      </c>
      <c r="E21" s="53" t="n">
        <v>-0.3017</v>
      </c>
      <c r="F21" s="66" t="n">
        <v>690975</v>
      </c>
      <c r="G21" s="66" t="n">
        <v>1367951</v>
      </c>
    </row>
    <row r="22" customFormat="false" ht="15" hidden="false" customHeight="false" outlineLevel="0" collapsed="false">
      <c r="A22" s="37" t="n">
        <v>1998</v>
      </c>
      <c r="B22" s="63" t="n">
        <v>2883</v>
      </c>
      <c r="C22" s="36" t="n">
        <v>2890.75</v>
      </c>
      <c r="D22" s="64" t="n">
        <v>-7.75</v>
      </c>
      <c r="E22" s="48" t="n">
        <v>-0.5477</v>
      </c>
      <c r="F22" s="63" t="n">
        <v>674404</v>
      </c>
      <c r="G22" s="63" t="n">
        <v>1256854</v>
      </c>
    </row>
    <row r="23" customFormat="false" ht="15" hidden="false" customHeight="false" outlineLevel="0" collapsed="false">
      <c r="A23" s="65" t="n">
        <v>1999</v>
      </c>
      <c r="B23" s="66" t="n">
        <v>2941</v>
      </c>
      <c r="C23" s="67" t="n">
        <v>2943.47</v>
      </c>
      <c r="D23" s="68" t="n">
        <v>-2.47</v>
      </c>
      <c r="E23" s="53" t="n">
        <v>-0.1742</v>
      </c>
      <c r="F23" s="66" t="n">
        <v>692389</v>
      </c>
      <c r="G23" s="66" t="n">
        <v>1314437</v>
      </c>
    </row>
    <row r="24" customFormat="false" ht="15" hidden="false" customHeight="false" outlineLevel="0" collapsed="false">
      <c r="A24" s="37" t="n">
        <v>2000</v>
      </c>
      <c r="B24" s="63" t="n">
        <v>3064</v>
      </c>
      <c r="C24" s="36" t="n">
        <v>3069.66</v>
      </c>
      <c r="D24" s="64" t="n">
        <v>-5.66</v>
      </c>
      <c r="E24" s="48" t="n">
        <v>-0.3995</v>
      </c>
      <c r="F24" s="63" t="n">
        <v>698702</v>
      </c>
      <c r="G24" s="63" t="n">
        <v>1381662</v>
      </c>
    </row>
    <row r="25" customFormat="false" ht="15" hidden="false" customHeight="false" outlineLevel="0" collapsed="false">
      <c r="A25" s="65" t="n">
        <v>2001</v>
      </c>
      <c r="B25" s="66" t="n">
        <v>3110</v>
      </c>
      <c r="C25" s="67" t="n">
        <v>3110.85</v>
      </c>
      <c r="D25" s="68" t="n">
        <v>-0.85</v>
      </c>
      <c r="E25" s="53" t="n">
        <v>-0.06</v>
      </c>
      <c r="F25" s="66" t="n">
        <v>673634</v>
      </c>
      <c r="G25" s="66" t="n">
        <v>1351461</v>
      </c>
    </row>
    <row r="26" customFormat="false" ht="15" hidden="false" customHeight="false" outlineLevel="0" collapsed="false">
      <c r="A26" s="37" t="n">
        <v>2002</v>
      </c>
      <c r="B26" s="63" t="n">
        <v>3238</v>
      </c>
      <c r="C26" s="36" t="n">
        <v>3235.04</v>
      </c>
      <c r="D26" s="64" t="n">
        <v>2.96</v>
      </c>
      <c r="E26" s="48" t="n">
        <v>0.209</v>
      </c>
      <c r="F26" s="63" t="n">
        <v>678544</v>
      </c>
      <c r="G26" s="63" t="n">
        <v>1415117</v>
      </c>
    </row>
    <row r="27" customFormat="false" ht="15" hidden="false" customHeight="false" outlineLevel="0" collapsed="false">
      <c r="A27" s="65" t="n">
        <v>2003</v>
      </c>
      <c r="B27" s="66" t="n">
        <v>3360</v>
      </c>
      <c r="C27" s="67" t="n">
        <v>3351.73</v>
      </c>
      <c r="D27" s="68" t="n">
        <v>8.27</v>
      </c>
      <c r="E27" s="53" t="n">
        <v>0.5839</v>
      </c>
      <c r="F27" s="66" t="n">
        <v>671820</v>
      </c>
      <c r="G27" s="66" t="n">
        <v>1453137</v>
      </c>
    </row>
    <row r="28" customFormat="false" ht="15" hidden="false" customHeight="false" outlineLevel="0" collapsed="false">
      <c r="A28" s="37" t="n">
        <v>2004</v>
      </c>
      <c r="B28" s="63" t="n">
        <v>3434</v>
      </c>
      <c r="C28" s="36" t="n">
        <v>3363.84</v>
      </c>
      <c r="D28" s="64" t="n">
        <v>70.16</v>
      </c>
      <c r="E28" s="48" t="n">
        <v>4.9563</v>
      </c>
      <c r="F28" s="63" t="n">
        <v>676310</v>
      </c>
      <c r="G28" s="63" t="n">
        <v>1467052</v>
      </c>
    </row>
    <row r="29" customFormat="false" ht="15" hidden="false" customHeight="false" outlineLevel="0" collapsed="false">
      <c r="A29" s="65" t="n">
        <v>2005</v>
      </c>
      <c r="B29" s="66" t="n">
        <v>3471</v>
      </c>
      <c r="C29" s="67" t="n">
        <v>3458.39</v>
      </c>
      <c r="D29" s="68" t="n">
        <v>12.61</v>
      </c>
      <c r="E29" s="53" t="n">
        <v>0.8906</v>
      </c>
      <c r="F29" s="66" t="n">
        <v>666781</v>
      </c>
      <c r="G29" s="66" t="n">
        <v>1490015</v>
      </c>
    </row>
    <row r="30" customFormat="false" ht="15" hidden="false" customHeight="false" outlineLevel="0" collapsed="false">
      <c r="A30" s="37" t="n">
        <v>2006</v>
      </c>
      <c r="B30" s="63" t="n">
        <v>3236</v>
      </c>
      <c r="C30" s="36" t="n">
        <v>3228</v>
      </c>
      <c r="D30" s="64" t="n">
        <v>8</v>
      </c>
      <c r="E30" s="48" t="n">
        <v>0.5649</v>
      </c>
      <c r="F30" s="63" t="n">
        <v>676034</v>
      </c>
      <c r="G30" s="63" t="n">
        <v>1407220</v>
      </c>
    </row>
    <row r="31" customFormat="false" ht="15" hidden="false" customHeight="false" outlineLevel="0" collapsed="false">
      <c r="A31" s="65" t="n">
        <v>2007</v>
      </c>
      <c r="B31" s="66" t="n">
        <v>3514</v>
      </c>
      <c r="C31" s="67" t="n">
        <v>3511.13</v>
      </c>
      <c r="D31" s="68" t="n">
        <v>2.87</v>
      </c>
      <c r="E31" s="53" t="n">
        <v>0.203</v>
      </c>
      <c r="F31" s="66" t="n">
        <v>676111</v>
      </c>
      <c r="G31" s="66" t="n">
        <v>1530971</v>
      </c>
    </row>
    <row r="32" customFormat="false" ht="15" hidden="false" customHeight="false" outlineLevel="0" collapsed="false">
      <c r="A32" s="37" t="n">
        <v>2008</v>
      </c>
      <c r="B32" s="63" t="n">
        <v>3584</v>
      </c>
      <c r="C32" s="36" t="n">
        <v>3563.81</v>
      </c>
      <c r="D32" s="64" t="n">
        <v>20.19</v>
      </c>
      <c r="E32" s="48" t="n">
        <v>1.4265</v>
      </c>
      <c r="F32" s="63" t="n">
        <v>656602</v>
      </c>
      <c r="G32" s="63" t="n">
        <v>1516470</v>
      </c>
    </row>
    <row r="33" customFormat="false" ht="15" hidden="false" customHeight="false" outlineLevel="0" collapsed="false">
      <c r="A33" s="65" t="n">
        <v>2009</v>
      </c>
      <c r="B33" s="66" t="n">
        <v>3720</v>
      </c>
      <c r="C33" s="67" t="n">
        <v>3720.86</v>
      </c>
      <c r="D33" s="68" t="n">
        <v>-0.86</v>
      </c>
      <c r="E33" s="53" t="n">
        <v>-0.0606</v>
      </c>
      <c r="F33" s="66" t="n">
        <v>674928</v>
      </c>
      <c r="G33" s="66" t="n">
        <v>1620259</v>
      </c>
    </row>
    <row r="34" customFormat="false" ht="15" hidden="false" customHeight="false" outlineLevel="0" collapsed="false">
      <c r="A34" s="37" t="n">
        <v>2010</v>
      </c>
      <c r="B34" s="63" t="n">
        <v>3636</v>
      </c>
      <c r="C34" s="36" t="n">
        <v>3635</v>
      </c>
      <c r="D34" s="64" t="n">
        <v>1</v>
      </c>
      <c r="E34" s="48" t="n">
        <v>0.0708</v>
      </c>
      <c r="F34" s="63" t="n">
        <v>677884</v>
      </c>
      <c r="G34" s="63" t="n">
        <v>1588457</v>
      </c>
    </row>
    <row r="35" customFormat="false" ht="15" hidden="false" customHeight="false" outlineLevel="0" collapsed="false">
      <c r="A35" s="65" t="n">
        <v>2011</v>
      </c>
      <c r="B35" s="66" t="n">
        <v>3748</v>
      </c>
      <c r="C35" s="67" t="n">
        <v>3757.48</v>
      </c>
      <c r="D35" s="68" t="n">
        <v>-9.48</v>
      </c>
      <c r="E35" s="53" t="n">
        <v>-0.6699</v>
      </c>
      <c r="F35" s="66" t="n">
        <v>687940</v>
      </c>
      <c r="G35" s="66" t="n">
        <v>1661260</v>
      </c>
    </row>
    <row r="36" customFormat="false" ht="15" hidden="false" customHeight="false" outlineLevel="0" collapsed="false">
      <c r="A36" s="37" t="n">
        <v>2012</v>
      </c>
      <c r="B36" s="63" t="n">
        <v>3797</v>
      </c>
      <c r="C36" s="36" t="n">
        <v>3803.86</v>
      </c>
      <c r="D36" s="64" t="n">
        <v>-6.86</v>
      </c>
      <c r="E36" s="48" t="n">
        <v>-0.4847</v>
      </c>
      <c r="F36" s="63" t="n">
        <v>684545</v>
      </c>
      <c r="G36" s="63" t="n">
        <v>1674981</v>
      </c>
    </row>
    <row r="37" customFormat="false" ht="15" hidden="false" customHeight="false" outlineLevel="0" collapsed="false">
      <c r="A37" s="65" t="n">
        <v>2013</v>
      </c>
      <c r="B37" s="66" t="n">
        <v>3876</v>
      </c>
      <c r="C37" s="67" t="n">
        <v>3865.98</v>
      </c>
      <c r="D37" s="68" t="n">
        <v>10.02</v>
      </c>
      <c r="E37" s="53" t="n">
        <v>0.7081</v>
      </c>
      <c r="F37" s="66" t="n">
        <v>671679</v>
      </c>
      <c r="G37" s="66" t="n">
        <v>1677368</v>
      </c>
    </row>
    <row r="38" customFormat="false" ht="15" hidden="false" customHeight="false" outlineLevel="0" collapsed="false">
      <c r="A38" s="37" t="n">
        <v>2014</v>
      </c>
      <c r="B38" s="63" t="n">
        <v>4194</v>
      </c>
      <c r="C38" s="36" t="n">
        <v>4193.37</v>
      </c>
      <c r="D38" s="64" t="n">
        <v>0.63</v>
      </c>
      <c r="E38" s="48" t="n">
        <v>0.0443</v>
      </c>
      <c r="F38" s="63" t="n">
        <v>679239</v>
      </c>
      <c r="G38" s="63" t="n">
        <v>1834831</v>
      </c>
    </row>
    <row r="39" customFormat="false" ht="15" hidden="false" customHeight="false" outlineLevel="0" collapsed="false">
      <c r="A39" s="65" t="n">
        <v>2015</v>
      </c>
      <c r="B39" s="66" t="n">
        <v>4022</v>
      </c>
      <c r="C39" s="67" t="n">
        <v>4028.72</v>
      </c>
      <c r="D39" s="68" t="n">
        <v>-6.72</v>
      </c>
      <c r="E39" s="53" t="n">
        <v>-0.4746</v>
      </c>
      <c r="F39" s="66" t="n">
        <v>681559</v>
      </c>
      <c r="G39" s="66" t="n">
        <v>1767407</v>
      </c>
    </row>
    <row r="40" customFormat="false" ht="15" hidden="false" customHeight="false" outlineLevel="0" collapsed="false">
      <c r="A40" s="37" t="n">
        <v>2016</v>
      </c>
      <c r="B40" s="63" t="n">
        <v>3978</v>
      </c>
      <c r="C40" s="36" t="n">
        <v>3994.01</v>
      </c>
      <c r="D40" s="64" t="n">
        <v>-16.01</v>
      </c>
      <c r="E40" s="48" t="n">
        <v>-1.1309</v>
      </c>
      <c r="F40" s="63" t="n">
        <v>688770</v>
      </c>
      <c r="G40" s="63" t="n">
        <v>1766115</v>
      </c>
    </row>
    <row r="41" customFormat="false" ht="15" hidden="false" customHeight="false" outlineLevel="0" collapsed="false">
      <c r="A41" s="65" t="n">
        <v>2017</v>
      </c>
      <c r="B41" s="66" t="n">
        <v>3750</v>
      </c>
      <c r="C41" s="67" t="n">
        <v>3756.66</v>
      </c>
      <c r="D41" s="68" t="n">
        <v>-6.66</v>
      </c>
      <c r="E41" s="53" t="n">
        <v>-0.4704</v>
      </c>
      <c r="F41" s="66" t="n">
        <v>685548</v>
      </c>
      <c r="G41" s="66" t="n">
        <v>1656302</v>
      </c>
    </row>
    <row r="42" customFormat="false" ht="15" hidden="false" customHeight="false" outlineLevel="0" collapsed="false">
      <c r="A42" s="37" t="n">
        <v>2018</v>
      </c>
      <c r="B42" s="63" t="n">
        <v>3770</v>
      </c>
      <c r="C42" s="36" t="n">
        <v>3792.3</v>
      </c>
      <c r="D42" s="64" t="n">
        <v>-22.3</v>
      </c>
      <c r="E42" s="48" t="n">
        <v>-1.5756</v>
      </c>
      <c r="F42" s="63" t="n">
        <v>700306</v>
      </c>
      <c r="G42" s="63" t="n">
        <v>1700231</v>
      </c>
    </row>
    <row r="43" customFormat="false" ht="15" hidden="false" customHeight="false" outlineLevel="0" collapsed="false">
      <c r="A43" s="65" t="n">
        <v>2019</v>
      </c>
      <c r="B43" s="66" t="n">
        <v>4255</v>
      </c>
      <c r="C43" s="67" t="n">
        <v>4266.99</v>
      </c>
      <c r="D43" s="68" t="n">
        <v>-11.99</v>
      </c>
      <c r="E43" s="53" t="n">
        <v>-0.8472</v>
      </c>
      <c r="F43" s="66" t="n">
        <v>684416</v>
      </c>
      <c r="G43" s="66" t="n">
        <v>1876922</v>
      </c>
    </row>
    <row r="46" customFormat="false" ht="15" hidden="false" customHeight="false" outlineLevel="0" collapsed="false">
      <c r="A46" s="12" t="s">
        <v>131</v>
      </c>
      <c r="B46" s="12"/>
      <c r="C46" s="12"/>
      <c r="D46" s="12"/>
    </row>
    <row r="47" customFormat="false" ht="15" hidden="false" customHeight="false" outlineLevel="0" collapsed="false">
      <c r="A47" s="69"/>
      <c r="B47" s="3" t="s">
        <v>129</v>
      </c>
      <c r="C47" s="3" t="s">
        <v>132</v>
      </c>
      <c r="D47" s="3" t="s">
        <v>133</v>
      </c>
    </row>
    <row r="48" customFormat="false" ht="15" hidden="false" customHeight="false" outlineLevel="0" collapsed="false">
      <c r="A48" s="3" t="s">
        <v>129</v>
      </c>
      <c r="B48" s="70" t="n">
        <v>1</v>
      </c>
      <c r="C48" s="53" t="n">
        <v>0.3588</v>
      </c>
      <c r="D48" s="53" t="n">
        <v>0.2316</v>
      </c>
    </row>
    <row r="49" customFormat="false" ht="15" hidden="false" customHeight="false" outlineLevel="0" collapsed="false">
      <c r="A49" s="3" t="s">
        <v>132</v>
      </c>
      <c r="B49" s="53" t="n">
        <v>0.3588</v>
      </c>
      <c r="C49" s="70" t="n">
        <v>1</v>
      </c>
      <c r="D49" s="70" t="n">
        <v>0.9907</v>
      </c>
    </row>
    <row r="50" customFormat="false" ht="15" hidden="false" customHeight="false" outlineLevel="0" collapsed="false">
      <c r="A50" s="3" t="s">
        <v>133</v>
      </c>
      <c r="B50" s="53" t="n">
        <v>0.2316</v>
      </c>
      <c r="C50" s="70" t="n">
        <v>0.9907</v>
      </c>
      <c r="D50" s="70" t="n">
        <v>1</v>
      </c>
    </row>
  </sheetData>
  <mergeCells count="2">
    <mergeCell ref="A1:H1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9"/>
  </cols>
  <sheetData>
    <row r="1" customFormat="false" ht="31.5" hidden="false" customHeight="true" outlineLevel="0" collapsed="false">
      <c r="A1" s="71" t="s">
        <v>134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customFormat="false" ht="19.5" hidden="false" customHeight="true" outlineLevel="0" collapsed="false">
      <c r="A2" s="72" t="s">
        <v>135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</row>
    <row r="4" customFormat="false" ht="18" hidden="false" customHeight="true" outlineLevel="0" collapsed="false">
      <c r="A4" s="73" t="s">
        <v>136</v>
      </c>
      <c r="B4" s="73"/>
      <c r="C4" s="73" t="s">
        <v>137</v>
      </c>
      <c r="D4" s="73"/>
      <c r="E4" s="74" t="s">
        <v>138</v>
      </c>
      <c r="F4" s="74"/>
      <c r="G4" s="75" t="s">
        <v>59</v>
      </c>
      <c r="H4" s="75"/>
      <c r="I4" s="75" t="s">
        <v>75</v>
      </c>
      <c r="J4" s="75"/>
      <c r="K4" s="76" t="s">
        <v>139</v>
      </c>
      <c r="L4" s="76"/>
      <c r="M4" s="76" t="s">
        <v>140</v>
      </c>
      <c r="N4" s="76"/>
      <c r="O4" s="76" t="s">
        <v>141</v>
      </c>
      <c r="P4" s="76"/>
    </row>
    <row r="5" customFormat="false" ht="24" hidden="false" customHeight="true" outlineLevel="0" collapsed="false">
      <c r="A5" s="77" t="s">
        <v>142</v>
      </c>
      <c r="B5" s="77"/>
      <c r="C5" s="77" t="s">
        <v>143</v>
      </c>
      <c r="D5" s="77"/>
      <c r="E5" s="78" t="s">
        <v>144</v>
      </c>
      <c r="F5" s="78"/>
      <c r="G5" s="79" t="s">
        <v>145</v>
      </c>
      <c r="H5" s="79"/>
      <c r="I5" s="79" t="s">
        <v>146</v>
      </c>
      <c r="J5" s="79"/>
      <c r="K5" s="80" t="s">
        <v>147</v>
      </c>
      <c r="L5" s="80"/>
      <c r="M5" s="80" t="s">
        <v>147</v>
      </c>
      <c r="N5" s="80"/>
      <c r="O5" s="80" t="s">
        <v>148</v>
      </c>
      <c r="P5" s="80"/>
    </row>
    <row r="6" customFormat="false" ht="15.75" hidden="false" customHeight="true" outlineLevel="0" collapsed="false">
      <c r="A6" s="81" t="s">
        <v>149</v>
      </c>
      <c r="B6" s="81"/>
      <c r="C6" s="81" t="s">
        <v>150</v>
      </c>
      <c r="D6" s="81"/>
      <c r="E6" s="81" t="s">
        <v>151</v>
      </c>
      <c r="F6" s="81"/>
      <c r="G6" s="81" t="s">
        <v>152</v>
      </c>
      <c r="H6" s="81"/>
      <c r="I6" s="81" t="s">
        <v>153</v>
      </c>
      <c r="J6" s="81"/>
      <c r="K6" s="81" t="s">
        <v>103</v>
      </c>
      <c r="L6" s="81"/>
      <c r="M6" s="81" t="s">
        <v>103</v>
      </c>
      <c r="N6" s="81"/>
      <c r="O6" s="81" t="s">
        <v>154</v>
      </c>
      <c r="P6" s="81"/>
    </row>
  </sheetData>
  <mergeCells count="26">
    <mergeCell ref="A1:P1"/>
    <mergeCell ref="A2:P2"/>
    <mergeCell ref="A4:B4"/>
    <mergeCell ref="C4:D4"/>
    <mergeCell ref="E4:F4"/>
    <mergeCell ref="G4:H4"/>
    <mergeCell ref="I4:J4"/>
    <mergeCell ref="K4:L4"/>
    <mergeCell ref="M4:N4"/>
    <mergeCell ref="O4:P4"/>
    <mergeCell ref="A5:B5"/>
    <mergeCell ref="C5:D5"/>
    <mergeCell ref="E5:F5"/>
    <mergeCell ref="G5:H5"/>
    <mergeCell ref="I5:J5"/>
    <mergeCell ref="K5:L5"/>
    <mergeCell ref="M5:N5"/>
    <mergeCell ref="O5:P5"/>
    <mergeCell ref="A6:B6"/>
    <mergeCell ref="C6:D6"/>
    <mergeCell ref="E6:F6"/>
    <mergeCell ref="G6:H6"/>
    <mergeCell ref="I6:J6"/>
    <mergeCell ref="K6:L6"/>
    <mergeCell ref="M6:N6"/>
    <mergeCell ref="O6:P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27.75" hidden="false" customHeight="true" outlineLevel="0" collapsed="false">
      <c r="A1" s="82" t="s">
        <v>155</v>
      </c>
    </row>
    <row r="3" customFormat="false" ht="54" hidden="false" customHeight="true" outlineLevel="0" collapsed="false">
      <c r="A3" s="83" t="s">
        <v>156</v>
      </c>
    </row>
    <row r="4" customFormat="false" ht="54" hidden="false" customHeight="true" outlineLevel="0" collapsed="false">
      <c r="A4" s="84" t="s">
        <v>157</v>
      </c>
    </row>
    <row r="5" customFormat="false" ht="54" hidden="false" customHeight="true" outlineLevel="0" collapsed="false">
      <c r="A5" s="83" t="s">
        <v>158</v>
      </c>
    </row>
    <row r="6" customFormat="false" ht="54" hidden="false" customHeight="true" outlineLevel="0" collapsed="false">
      <c r="A6" s="84" t="s">
        <v>159</v>
      </c>
    </row>
    <row r="7" customFormat="false" ht="54" hidden="false" customHeight="true" outlineLevel="0" collapsed="false">
      <c r="A7" s="83" t="s">
        <v>160</v>
      </c>
    </row>
    <row r="8" customFormat="false" ht="54" hidden="false" customHeight="true" outlineLevel="0" collapsed="false">
      <c r="A8" s="84" t="s">
        <v>161</v>
      </c>
    </row>
    <row r="9" customFormat="false" ht="54" hidden="false" customHeight="true" outlineLevel="0" collapsed="false">
      <c r="A9" s="83" t="s">
        <v>162</v>
      </c>
    </row>
    <row r="10" customFormat="false" ht="54" hidden="false" customHeight="true" outlineLevel="0" collapsed="false">
      <c r="A10" s="84" t="s">
        <v>163</v>
      </c>
    </row>
    <row r="11" customFormat="false" ht="54" hidden="false" customHeight="true" outlineLevel="0" collapsed="false">
      <c r="A11" s="83" t="s">
        <v>164</v>
      </c>
    </row>
    <row r="12" customFormat="false" ht="54" hidden="false" customHeight="true" outlineLevel="0" collapsed="false">
      <c r="A12" s="84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2026-06-02T21:16:43Z</dcterms:created>
  <dc:creator>openpyxl</dc:creator>
  <dc:description/>
  <dc:language>en-US</dc:language>
  <cp:lastModifiedBy/>
  <dcterms:modified xsi:type="dcterms:W3CDTF">2026-06-02T21:16:59Z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